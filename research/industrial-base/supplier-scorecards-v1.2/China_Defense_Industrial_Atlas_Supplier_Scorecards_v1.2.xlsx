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8fb139fda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6c6e4789ff84941"/>
    <x:sheet xmlns:r="http://schemas.openxmlformats.org/officeDocument/2006/relationships" name="Scorecard Ranking" sheetId="2" r:id="Rcc148d28d5cc48f1"/>
    <x:sheet xmlns:r="http://schemas.openxmlformats.org/officeDocument/2006/relationships" name="Capability Assessments" sheetId="3" r:id="R1d5bdf0f2d154e51"/>
    <x:sheet xmlns:r="http://schemas.openxmlformats.org/officeDocument/2006/relationships" name="Evidence Ledger" sheetId="4" r:id="R4e01a6aa1a9f4c91"/>
    <x:sheet xmlns:r="http://schemas.openxmlformats.org/officeDocument/2006/relationships" name="Robots AI Drones" sheetId="5" r:id="Rc4543c02493b43c0"/>
    <x:sheet xmlns:r="http://schemas.openxmlformats.org/officeDocument/2006/relationships" name="Foreign Dependencies" sheetId="6" r:id="R61118a84592748f0"/>
    <x:sheet xmlns:r="http://schemas.openxmlformats.org/officeDocument/2006/relationships" name="Signals &amp; Gaps" sheetId="7" r:id="Rc8ece8ab80d148e1"/>
    <x:sheet xmlns:r="http://schemas.openxmlformats.org/officeDocument/2006/relationships" name="Scoring Method" sheetId="8" r:id="R7073eb76dec74c30"/>
    <x:sheet xmlns:r="http://schemas.openxmlformats.org/officeDocument/2006/relationships" name="Source Register" sheetId="9" r:id="R993d179e3a374f18"/>
    <x:sheet xmlns:r="http://schemas.openxmlformats.org/officeDocument/2006/relationships" name="Bibliographic Essay" sheetId="10" r:id="Rf8b36e73e79f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%"/>
  </x:numFmts>
  <x:fonts count="8">
    <x:font>
      <x:sz val="11"/>
      <x:name val="Carlito"/>
    </x:font>
    <x:font>
      <x:b/>
      <x:sz val="16"/>
      <x:color rgb="FFFFFFFF"/>
      <x:name val="Noto Sans CJK SC"/>
    </x:font>
    <x:font>
      <x:i/>
      <x:sz val="11"/>
      <x:color rgb="FF102A43"/>
      <x:name val="Noto Sans CJK SC"/>
    </x:font>
    <x:font>
      <x:b/>
      <x:sz val="11"/>
      <x:color rgb="FFFFFFFF"/>
      <x:name val="Noto Sans CJK SC"/>
    </x:font>
    <x:font>
      <x:b/>
      <x:sz val="11"/>
      <x:color rgb="FF102A43"/>
      <x:name val="Noto Sans CJK SC"/>
    </x:font>
    <x:font>
      <x:sz val="11"/>
      <x:name val="Noto Sans CJK SC"/>
    </x:font>
    <x:font>
      <x:sz val="11"/>
      <x:color rgb="FF102A43"/>
      <x:name val="Noto Sans CJK SC"/>
    </x:font>
    <x:font>
      <x:sz val="11"/>
      <x:color rgb="FF2563EB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FF6FF"/>
      </x:patternFill>
    </x:fill>
    <x:fill>
      <x:patternFill patternType="solid">
        <x:fgColor rgb="FF0E7490"/>
      </x:patternFill>
    </x:fill>
    <x:fill>
      <x:patternFill patternType="solid">
        <x:fgColor rgb="FF173F5F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/>
    <x:xf numFmtId="200" fontId="5" fillId="0" borderId="4" xfId="0" applyNumberFormat="1" applyFont="1" applyFill="1" applyBorder="1" applyAlignment="1">
      <x:alignment horizontal="right"/>
    </x:xf>
    <x:xf numFmtId="0" fontId="4" fillId="3" borderId="5" xfId="0" applyNumberFormat="1" applyFont="1" applyFill="1" applyBorder="1"/>
    <x:xf numFmtId="200" fontId="5" fillId="0" borderId="6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202" fontId="7" fillId="7" borderId="0" xfId="0" applyNumberFormat="1" applyFont="1" applyFill="1" applyBorder="1"/>
    <x:xf numFmtId="202" fontId="5" fillId="0" borderId="0" xfId="0" applyNumberFormat="1" applyFont="1" applyFill="1" applyBorder="1"/>
    <x:xf numFmtId="0" fontId="3" fillId="4" borderId="7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5" fillId="0" borderId="8" xfId="0" applyNumberFormat="1" applyFont="1" applyFill="1" applyBorder="1"/>
    <x:xf numFmtId="0" fontId="0" fillId="0" borderId="6" xfId="0" applyNumberFormat="1" applyFont="1" applyFill="1" applyBorder="1"/>
    <x:xf numFmtId="202" fontId="0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2" fontId="6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4fd89add44f67" /><Relationship Type="http://schemas.openxmlformats.org/officeDocument/2006/relationships/theme" Target="/xl/theme/theme1.xml" Id="R5326479d53b647c5" /><Relationship Type="http://schemas.openxmlformats.org/officeDocument/2006/relationships/sharedStrings" Target="/xl/sharedStrings.xml" Id="R983c04e05e0e4855" /><Relationship Type="http://schemas.openxmlformats.org/officeDocument/2006/relationships/worksheet" Target="/xl/worksheets/sheet1.xml" Id="Ra6c6e4789ff84941" /><Relationship Type="http://schemas.openxmlformats.org/officeDocument/2006/relationships/worksheet" Target="/xl/worksheets/sheet2.xml" Id="Rcc148d28d5cc48f1" /><Relationship Type="http://schemas.openxmlformats.org/officeDocument/2006/relationships/worksheet" Target="/xl/worksheets/sheet3.xml" Id="R1d5bdf0f2d154e51" /><Relationship Type="http://schemas.openxmlformats.org/officeDocument/2006/relationships/worksheet" Target="/xl/worksheets/sheet4.xml" Id="R4e01a6aa1a9f4c91" /><Relationship Type="http://schemas.openxmlformats.org/officeDocument/2006/relationships/worksheet" Target="/xl/worksheets/sheet5.xml" Id="Rc4543c02493b43c0" /><Relationship Type="http://schemas.openxmlformats.org/officeDocument/2006/relationships/worksheet" Target="/xl/worksheets/sheet6.xml" Id="R61118a84592748f0" /><Relationship Type="http://schemas.openxmlformats.org/officeDocument/2006/relationships/worksheet" Target="/xl/worksheets/sheet7.xml" Id="Rc8ece8ab80d148e1" /><Relationship Type="http://schemas.openxmlformats.org/officeDocument/2006/relationships/worksheet" Target="/xl/worksheets/sheet8.xml" Id="R7073eb76dec74c30" /><Relationship Type="http://schemas.openxmlformats.org/officeDocument/2006/relationships/worksheet" Target="/xl/worksheets/sheet9.xml" Id="R993d179e3a374f18" /><Relationship Type="http://schemas.openxmlformats.org/officeDocument/2006/relationships/worksheet" Target="/xl/worksheets/sheet10.xml" Id="Rf8b36e73e79f44cf" /></Relationships>
</file>

<file path=xl/tables/table1.xml><?xml version="1.0" encoding="utf-8"?>
<x:table xmlns:x="http://schemas.openxmlformats.org/spreadsheetml/2006/main" id="1" name="SupplierScorecards" displayName="SupplierScorecards" ref="A4:U56" headerRowCount="1" totalsRowCount="0" totalsRowShown="0">
  <x:tableColumns count="21">
    <x:tableColumn id="1" name="Initial Rank"/>
    <x:tableColumn id="2" name="Lane Rank"/>
    <x:tableColumn id="3" name="Supplier"/>
    <x:tableColumn id="4" name="English name"/>
    <x:tableColumn id="5" name="Capability family"/>
    <x:tableColumn id="6" name="Status"/>
    <x:tableColumn id="7" name="Lane"/>
    <x:tableColumn id="8" name="Criticality"/>
    <x:tableColumn id="9" name="Frontier"/>
    <x:tableColumn id="10" name="Cross-domain"/>
    <x:tableColumn id="11" name="Evidence"/>
    <x:tableColumn id="12" name="Maturity"/>
    <x:tableColumn id="13" name="Production"/>
    <x:tableColumn id="14" name="Initial importance"/>
    <x:tableColumn id="15" name="Initial lower bound"/>
    <x:tableColumn id="16" name="Evidence rows"/>
    <x:tableColumn id="17" name="Fragility / substitution risk"/>
    <x:tableColumn id="18" name="Fragility basis"/>
    <x:tableColumn id="19" name="Scenario score"/>
    <x:tableColumn id="20" name="Scenario lower bound"/>
    <x:tableColumn id="21" name="Primary sour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bilityAssessments" displayName="CapabilityAssessments" ref="A4:R56" headerRowCount="1" totalsRowCount="0" totalsRowShown="0">
  <x:tableColumns count="18">
    <x:tableColumn id="1" name="Assessment ID"/>
    <x:tableColumn id="2" name="Supplier"/>
    <x:tableColumn id="3" name="Capability family"/>
    <x:tableColumn id="4" name="Lane"/>
    <x:tableColumn id="5" name="Status"/>
    <x:tableColumn id="6" name="Rank eligible"/>
    <x:tableColumn id="7" name="C"/>
    <x:tableColumn id="8" name="I"/>
    <x:tableColumn id="9" name="X"/>
    <x:tableColumn id="10" name="E"/>
    <x:tableColumn id="11" name="Maturity"/>
    <x:tableColumn id="12" name="Importance"/>
    <x:tableColumn id="13" name="Lower bound"/>
    <x:tableColumn id="14" name="Raw C max"/>
    <x:tableColumn id="15" name="Raw I max"/>
    <x:tableColumn id="16" name="Raw X max"/>
    <x:tableColumn id="17" name="Evidence count"/>
    <x:tableColumn id="18" name="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recardEvidence" displayName="ScorecardEvidence" ref="A4:X70" headerRowCount="1" totalsRowCount="0" totalsRowShown="0">
  <x:tableColumns count="24">
    <x:tableColumn id="1" name="Evidence ID"/>
    <x:tableColumn id="2" name="Assessment ID"/>
    <x:tableColumn id="3" name="Supplier"/>
    <x:tableColumn id="4" name="Capability"/>
    <x:tableColumn id="5" name="Source record"/>
    <x:tableColumn id="6" name="Date"/>
    <x:tableColumn id="7" name="State"/>
    <x:tableColumn id="8" name="Evidence status"/>
    <x:tableColumn id="9" name="Confidence"/>
    <x:tableColumn id="10" name="Raw maturity"/>
    <x:tableColumn id="11" name="Normalized maturity"/>
    <x:tableColumn id="12" name="Raw C"/>
    <x:tableColumn id="13" name="Raw I"/>
    <x:tableColumn id="14" name="Raw X"/>
    <x:tableColumn id="15" name="Raw E"/>
    <x:tableColumn id="16" name="C"/>
    <x:tableColumn id="17" name="I"/>
    <x:tableColumn id="18" name="X"/>
    <x:tableColumn id="19" name="E"/>
    <x:tableColumn id="20" name="Claim"/>
    <x:tableColumn id="21" name="Context"/>
    <x:tableColumn id="22" name="Caveat"/>
    <x:tableColumn id="23" name="Source title"/>
    <x:tableColumn id="24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botAIDrones" displayName="RobotAIDrones" ref="A4:P24" headerRowCount="1" totalsRowCount="0" totalsRowShown="0">
  <x:tableColumns count="16">
    <x:tableColumn id="1" name="Initial rank"/>
    <x:tableColumn id="2" name="Supplier"/>
    <x:tableColumn id="3" name="Capability family"/>
    <x:tableColumn id="4" name="Lane"/>
    <x:tableColumn id="5" name="Status"/>
    <x:tableColumn id="6" name="C"/>
    <x:tableColumn id="7" name="I"/>
    <x:tableColumn id="8" name="X"/>
    <x:tableColumn id="9" name="E"/>
    <x:tableColumn id="10" name="Maturity"/>
    <x:tableColumn id="11" name="Importance"/>
    <x:tableColumn id="12" name="Lower bound"/>
    <x:tableColumn id="13" name="Evidence rows"/>
    <x:tableColumn id="14" name="Why it surfaced"/>
    <x:tableColumn id="15" name="Caveat"/>
    <x:tableColumn id="16" name="Sourc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reignDependencyEvidence" displayName="ForeignDependencyEvidence" ref="A4:M15" headerRowCount="1" totalsRowCount="0" totalsRowShown="0">
  <x:tableColumns count="13">
    <x:tableColumn id="1" name="Record ID"/>
    <x:tableColumn id="2" name="Chinese entity / sector"/>
    <x:tableColumn id="3" name="Foreign supplier"/>
    <x:tableColumn id="4" name="Technology"/>
    <x:tableColumn id="5" name="Relationship class"/>
    <x:tableColumn id="6" name="Activity window"/>
    <x:tableColumn id="7" name="Currentness"/>
    <x:tableColumn id="8" name="Confidence"/>
    <x:tableColumn id="9" name="Claim"/>
    <x:tableColumn id="10" name="Inference limit"/>
    <x:tableColumn id="11" name="Scorer treatment"/>
    <x:tableColumn id="12" name="Source title"/>
    <x:tableColumn id="13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nalyticalSignals" displayName="AnalyticalSignals" ref="A4:J9" headerRowCount="1" totalsRowCount="0" totalsRowShown="0">
  <x:tableColumns count="10">
    <x:tableColumn id="1" name="Signal ID"/>
    <x:tableColumn id="2" name="Date"/>
    <x:tableColumn id="3" name="Signal"/>
    <x:tableColumn id="4" name="Confirmed fact"/>
    <x:tableColumn id="5" name="Cautious inference"/>
    <x:tableColumn id="6" name="Does not establish"/>
    <x:tableColumn id="7" name="Confidence"/>
    <x:tableColumn id="8" name="Recommended use"/>
    <x:tableColumn id="9" name="Source type"/>
    <x:tableColumn id="10" name="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12SourceRegister" displayName="V12SourceRegister" ref="A4:F82" headerRowCount="1" totalsRowCount="0" totalsRowShown="0">
  <x:tableColumns count="6">
    <x:tableColumn id="1" name="Use"/>
    <x:tableColumn id="2" name="Title"/>
    <x:tableColumn id="3" name="Source type"/>
    <x:tableColumn id="4" name="Tier"/>
    <x:tableColumn id="5" name="Source date"/>
    <x:tableColumn id="6" name="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ibliographicEssay" displayName="BibliographicEssay" ref="A4:D10" headerRowCount="1" totalsRowCount="0" totalsRowShown="0">
  <x:tableColumns count="4">
    <x:tableColumn id="1" name="Section"/>
    <x:tableColumn id="2" name="Source family"/>
    <x:tableColumn id="3" name="What it is good for"/>
    <x:tableColumn id="4" name="What it cannot prove al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c80374413043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4614c679f04b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c8f7682c8e4a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002dd9d27440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891e88d2ab4b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f994a8f01446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063f7a2978747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c3ea83754cd4a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3" t="str">
        <x:v>China Defense-Industrial Atlas — Supplier Scorecards v1.2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Additive, source-gated supplier × capability assessments through 2026-08-31. This workbook preserves the legacy Atlas as context and does not replace its broader research-priority ranking.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6" t="str">
        <x:v>Coverage metric</x:v>
      </x:c>
      <x:c r="B4" s="17" t="str">
        <x:v>Count</x:v>
      </x:c>
      <x:c r="D4" s="25" t="str">
        <x:v>What this scorecard does—and does not—say</x:v>
      </x:c>
      <x:c r="E4" s="25"/>
      <x:c r="F4" s="25"/>
      <x:c r="G4" s="25"/>
      <x:c r="H4" s="25"/>
      <x:c r="I4" s="25"/>
      <x:c r="J4" s="25"/>
      <x:c r="K4" s="25"/>
      <x:c r="L4" s="25"/>
    </x:row>
    <x:row r="5" ht="48" customHeight="1">
      <x:c r="A5" s="18" t="str">
        <x:v>Supplier × capability scorecards</x:v>
      </x:c>
      <x:c r="B5" s="19" t="n">
        <x:f>COUNTA('Scorecard Ranking'!$C$5:$C$200)</x:f>
        <x:v>52</x:v>
      </x:c>
      <x:c r="D5" s="28" t="str">
        <x:v>The unit of analysis is a supplier × capability family, not a corporate family or product brand. A parent’s strategic importance does not make every affiliate a technical supplier.</x:v>
      </x:c>
      <x:c r="E5" s="28"/>
      <x:c r="F5" s="28"/>
      <x:c r="G5" s="28"/>
      <x:c r="H5" s="28"/>
      <x:c r="I5" s="28"/>
      <x:c r="J5" s="28"/>
      <x:c r="K5" s="28"/>
      <x:c r="L5" s="28"/>
    </x:row>
    <x:row r="6" ht="48" customHeight="1">
      <x:c r="A6" s="18" t="str">
        <x:v>Evidence-qualified rankable scorecards</x:v>
      </x:c>
      <x:c r="B6" s="19" t="n">
        <x:f>COUNT('Scorecard Ranking'!$A$5:$A$200)</x:f>
        <x:v>25</x:v>
      </x:c>
      <x:c r="D6" s="32" t="str">
        <x:v>Systemic importance combines criticality, production maturity, cross-domain leverage, and technical frontier. The evidence-qualified lower bound discounts weaker evidence. It is a research triage score—not spend, valuation, targeting value, or sanctions advice.</x:v>
      </x:c>
      <x:c r="E6" s="32"/>
      <x:c r="F6" s="32"/>
      <x:c r="G6" s="32"/>
      <x:c r="H6" s="32"/>
      <x:c r="I6" s="32"/>
      <x:c r="J6" s="32"/>
      <x:c r="K6" s="32"/>
      <x:c r="L6" s="32"/>
    </x:row>
    <x:row r="7" ht="48" customHeight="1">
      <x:c r="A7" s="18" t="str">
        <x:v>Provisional / bounded scorecards</x:v>
      </x:c>
      <x:c r="B7" s="19" t="n">
        <x:f>COUNTA('Scorecard Ranking'!$C$5:$C$200)-COUNT('Scorecard Ranking'!$A$5:$A$200)</x:f>
        <x:v>27</x:v>
      </x:c>
      <x:c r="D7" s="28" t="str">
        <x:v>Criticality 4 requires explicit sole/limited-source or requalification language. Only scores supported by that threshold receive a substitution-risk assessment; blank means unknown, not low risk.</x:v>
      </x:c>
      <x:c r="E7" s="28"/>
      <x:c r="F7" s="28"/>
      <x:c r="G7" s="28"/>
      <x:c r="H7" s="28"/>
      <x:c r="I7" s="28"/>
      <x:c r="J7" s="28"/>
      <x:c r="K7" s="28"/>
      <x:c r="L7" s="28"/>
    </x:row>
    <x:row r="8" ht="48" customHeight="1">
      <x:c r="A8" s="18" t="str">
        <x:v>Atomic scorecard evidence rows</x:v>
      </x:c>
      <x:c r="B8" s="19" t="n">
        <x:f>COUNTA('Evidence Ledger'!$A$5:$A$200)</x:f>
        <x:v>66</x:v>
      </x:c>
      <x:c r="D8" s="32" t="str">
        <x:v>Completed production-enabling awards (robotics, test, CNC, validation) are separated from mission-component suppliers. A shipyard robotics award is meaningful industrial-base evidence, not proof of a weapons-subsystem relationship.</x:v>
      </x:c>
      <x:c r="E8" s="32"/>
      <x:c r="F8" s="32"/>
      <x:c r="G8" s="32"/>
      <x:c r="H8" s="32"/>
      <x:c r="I8" s="32"/>
      <x:c r="J8" s="32"/>
      <x:c r="K8" s="32"/>
      <x:c r="L8" s="32"/>
    </x:row>
    <x:row r="9" ht="48" customHeight="1">
      <x:c r="A9" s="18" t="str">
        <x:v>New exact-name scorecard entities</x:v>
      </x:c>
      <x:c r="B9" s="19" t="n">
        <x:f>19</x:f>
        <x:v>19</x:v>
      </x:c>
      <x:c r="D9" s="28" t="str">
        <x:v>PLA candidate notices, company marketing, and comparative tests are preserved as watchlist evidence. They do not enter the verified leaderboard until a final award, delivery, qualification, or other stronger evidence is found.</x:v>
      </x:c>
      <x:c r="E9" s="28"/>
      <x:c r="F9" s="28"/>
      <x:c r="G9" s="28"/>
      <x:c r="H9" s="28"/>
      <x:c r="I9" s="28"/>
      <x:c r="J9" s="28"/>
      <x:c r="K9" s="28"/>
      <x:c r="L9" s="28"/>
    </x:row>
    <x:row r="10" ht="48" customHeight="1">
      <x:c r="A10" s="18" t="str">
        <x:v>Primary/source-linked sources</x:v>
      </x:c>
      <x:c r="B10" s="19" t="n">
        <x:f>1841</x:f>
        <x:v>1841</x:v>
      </x:c>
      <x:c r="D10" s="32" t="str">
        <x:v>Foreign-dependency rows are tagged by directness and currentness. Historical export-control cases are not silently converted into current defense-program vulnerabilities.</x:v>
      </x:c>
      <x:c r="E10" s="32"/>
      <x:c r="F10" s="32"/>
      <x:c r="G10" s="32"/>
      <x:c r="H10" s="32"/>
      <x:c r="I10" s="32"/>
      <x:c r="J10" s="32"/>
      <x:c r="K10" s="32"/>
      <x:c r="L10" s="32"/>
    </x:row>
    <x:row r="11" ht="48" customHeight="1">
      <x:c r="A11" s="18" t="str">
        <x:v>Foreign dependency cases</x:v>
      </x:c>
      <x:c r="B11" s="19" t="n">
        <x:f>COUNTA('Foreign Dependencies'!$A$5:$A$200)</x:f>
        <x:v>11</x:v>
      </x:c>
      <x:c r="D11" s="28" t="str">
        <x:v>For the full claim ledger and source detail, use the accompanying v1.2 SQLite database or the Atlas site’s Supplier scorecards tab.</x:v>
      </x:c>
      <x:c r="E11" s="28"/>
      <x:c r="F11" s="28"/>
      <x:c r="G11" s="28"/>
      <x:c r="H11" s="28"/>
      <x:c r="I11" s="28"/>
      <x:c r="J11" s="28"/>
      <x:c r="K11" s="28"/>
      <x:c r="L11" s="28"/>
    </x:row>
    <x:row r="12">
      <x:c r="A12" s="18" t="str">
        <x:v>Robotics/AI/drone signals</x:v>
      </x:c>
      <x:c r="B12" s="19" t="n">
        <x:f>COUNTA('Signals &amp; Gaps'!$A$5:$A$50)</x:f>
        <x:v>11</x:v>
      </x:c>
    </x:row>
    <x:row r="13">
      <x:c r="A13" s="20" t="str">
        <x:v>Explicit fragility assessments</x:v>
      </x:c>
      <x:c r="B13" s="21" t="n">
        <x:f>COUNT('Scorecard Ranking'!$Q$5:$Q$200)</x:f>
        <x:v>1</x:v>
      </x:c>
    </x:row>
  </x:sheetData>
  <x:mergeCells>
    <x:mergeCell ref="A1:L1"/>
    <x:mergeCell ref="A2:L2"/>
    <x:mergeCell ref="D4:L4"/>
    <x:mergeCell ref="D5:L5"/>
    <x:mergeCell ref="D6:L6"/>
    <x:mergeCell ref="D7:L7"/>
    <x:mergeCell ref="D8:L8"/>
    <x:mergeCell ref="D9:L9"/>
    <x:mergeCell ref="D10:L10"/>
    <x:mergeCell ref="D11:L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8" hidden="0" customWidth="1"/>
    <x:col min="4" max="4" width="28" hidden="0" customWidth="1"/>
    <x:col min="5" max="5" width="34" hidden="0" customWidth="1"/>
    <x:col min="6" max="6" width="24" hidden="0" customWidth="1"/>
    <x:col min="7" max="7" width="24" hidden="0" customWidth="1"/>
    <x:col min="8" max="8" width="11" hidden="0" customWidth="1"/>
    <x:col min="9" max="9" width="11" hidden="0" customWidth="1"/>
    <x:col min="10" max="10" width="13" hidden="0" customWidth="1"/>
    <x:col min="11" max="11" width="10" hidden="0" customWidth="1"/>
    <x:col min="12" max="12" width="10" hidden="0" customWidth="1"/>
    <x:col min="13" max="13" width="11" hidden="0" customWidth="1"/>
    <x:col min="14" max="14" width="14" hidden="0" customWidth="1"/>
    <x:col min="15" max="15" width="15" hidden="0" customWidth="1"/>
    <x:col min="16" max="16" width="11" hidden="0" customWidth="1"/>
    <x:col min="17" max="17" width="15" hidden="0" customWidth="1"/>
    <x:col min="18" max="18" width="42" hidden="0" customWidth="1"/>
    <x:col min="19" max="19" width="14" hidden="0" customWidth="1"/>
    <x:col min="20" max="20" width="17" hidden="0" customWidth="1"/>
    <x:col min="21" max="21" width="52" hidden="0" customWidth="1"/>
  </x:cols>
  <x:sheetData>
    <x:row r="1" ht="32" customHeight="1">
      <x:c r="A1" s="3" t="str">
        <x:v>Evidence-gated supplier scorecards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8" customHeight="1">
      <x:c r="A2" s="7" t="str">
        <x:v>Ranked rows require E3/E4 scorecard evidence. Database ranks reflect the locked v1.2 model; Scenario Score and Scenario Lower Bound recalculate against editable weights on Scoring Method.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4" customHeight="1">
      <x:c r="A4" s="11" t="str">
        <x:v>Initial Rank</x:v>
      </x:c>
      <x:c r="B4" s="11" t="str">
        <x:v>Lane Rank</x:v>
      </x:c>
      <x:c r="C4" s="11" t="str">
        <x:v>Supplier</x:v>
      </x:c>
      <x:c r="D4" s="11" t="str">
        <x:v>English name</x:v>
      </x:c>
      <x:c r="E4" s="11" t="str">
        <x:v>Capability family</x:v>
      </x:c>
      <x:c r="F4" s="11" t="str">
        <x:v>Status</x:v>
      </x:c>
      <x:c r="G4" s="11" t="str">
        <x:v>Lane</x:v>
      </x:c>
      <x:c r="H4" s="11" t="str">
        <x:v>Criticality</x:v>
      </x:c>
      <x:c r="I4" s="11" t="str">
        <x:v>Frontier</x:v>
      </x:c>
      <x:c r="J4" s="11" t="str">
        <x:v>Cross-domain</x:v>
      </x:c>
      <x:c r="K4" s="11" t="str">
        <x:v>Evidence</x:v>
      </x:c>
      <x:c r="L4" s="11" t="str">
        <x:v>Maturity</x:v>
      </x:c>
      <x:c r="M4" s="11" t="str">
        <x:v>Production</x:v>
      </x:c>
      <x:c r="N4" s="11" t="str">
        <x:v>Initial importance</x:v>
      </x:c>
      <x:c r="O4" s="11" t="str">
        <x:v>Initial lower bound</x:v>
      </x:c>
      <x:c r="P4" s="11" t="str">
        <x:v>Evidence rows</x:v>
      </x:c>
      <x:c r="Q4" s="11" t="str">
        <x:v>Fragility / substitution risk</x:v>
      </x:c>
      <x:c r="R4" s="11" t="str">
        <x:v>Fragility basis</x:v>
      </x:c>
      <x:c r="S4" s="11" t="str">
        <x:v>Scenario score</x:v>
      </x:c>
      <x:c r="T4" s="11" t="str">
        <x:v>Scenario lower bound</x:v>
      </x:c>
      <x:c r="U4" s="11" t="str">
        <x:v>Primary sources</x:v>
      </x:c>
    </x:row>
    <x:row r="5" ht="44" customHeight="1">
      <x:c r="A5" s="35" t="n">
        <x:v>1</x:v>
      </x:c>
      <x:c r="B5" s="35" t="n">
        <x:v>1</x:v>
      </x:c>
      <x:c r="C5" s="35" t="str">
        <x:v>北京理工导航控制科技股份有限公司</x:v>
      </x:c>
      <x:c r="D5" s="35" t="str">
        <x:v>Beijing Rational Navigation Control Technology Co. Ltd.</x:v>
      </x:c>
      <x:c r="E5" s="35" t="str">
        <x:v>inertial_navigation_and_guidance</x:v>
      </x:c>
      <x:c r="F5" s="35" t="str">
        <x:v>verified_supplier</x:v>
      </x:c>
      <x:c r="G5" s="35" t="str">
        <x:v>component_or_subsystem_supplier</x:v>
      </x:c>
      <x:c r="H5" s="36" t="n">
        <x:v>4</x:v>
      </x:c>
      <x:c r="I5" s="36" t="n">
        <x:v>3</x:v>
      </x:c>
      <x:c r="J5" s="36" t="n">
        <x:v>2</x:v>
      </x:c>
      <x:c r="K5" s="36" t="str">
        <x:v>E4</x:v>
      </x:c>
      <x:c r="L5" s="36" t="str">
        <x:v>U5</x:v>
      </x:c>
      <x:c r="M5" s="36" t="n">
        <x:v>4</x:v>
      </x:c>
      <x:c r="N5" s="36" t="n">
        <x:v>86</x:v>
      </x:c>
      <x:c r="O5" s="36" t="n">
        <x:v>86</x:v>
      </x:c>
      <x:c r="P5" s="36" t="n">
        <x:v>1</x:v>
      </x:c>
      <x:c r="Q5" s="36" t="n">
        <x:v>4</x:v>
      </x:c>
      <x:c r="R5" s="36" t="str">
        <x:v>Issuer explicitly identifies four finalized variants as sole supplier.</x:v>
      </x:c>
      <x:c r="S5" s="36" t="n">
        <x:f>ROUND(25*('Scoring Method'!$B$5*H5+'Scoring Method'!$B$6*M5+'Scoring Method'!$B$7*J5+'Scoring Method'!$B$8*I5),0)</x:f>
        <x:v>86</x:v>
      </x:c>
      <x:c r="T5" s="36" t="n">
        <x:f>ROUND(S5*CHOOSE(VALUE(RIGHT(K5,1)),0.5,0.7,0.85,1),0)</x:f>
        <x:v>86</x:v>
      </x:c>
      <x:c r="U5" s="35" t="str">
        <x:v>https://static.cninfo.com.cn/finalpage/2025-08-29/1224606049.PDF</x:v>
      </x:c>
    </x:row>
    <x:row r="6" ht="44" customHeight="1">
      <x:c r="A6" s="35" t="n">
        <x:v>2</x:v>
      </x:c>
      <x:c r="B6" s="35" t="n">
        <x:v>1</x:v>
      </x:c>
      <x:c r="C6" s="35" t="str">
        <x:v>上海霍莱沃电子系统技术股份有限公司</x:v>
      </x:c>
      <x:c r="D6" s="35" t="str">
        <x:v>Shanghai Hollywave Electronic System Co. Ltd.</x:v>
      </x:c>
      <x:c r="E6" s="35" t="str">
        <x:v>electromagnetic_simulation_AESA_calibration_and_validation</x:v>
      </x:c>
      <x:c r="F6" s="35" t="str">
        <x:v>verified_production_enabler</x:v>
      </x:c>
      <x:c r="G6" s="35" t="str">
        <x:v>production_enabler</x:v>
      </x:c>
      <x:c r="H6" s="36" t="n">
        <x:v>3</x:v>
      </x:c>
      <x:c r="I6" s="36" t="n">
        <x:v>4</x:v>
      </x:c>
      <x:c r="J6" s="36" t="n">
        <x:v>3</x:v>
      </x:c>
      <x:c r="K6" s="36" t="str">
        <x:v>E4</x:v>
      </x:c>
      <x:c r="L6" s="36" t="str">
        <x:v>U3</x:v>
      </x:c>
      <x:c r="M6" s="36" t="n">
        <x:v>3</x:v>
      </x:c>
      <x:c r="N6" s="36" t="n">
        <x:v>79</x:v>
      </x:c>
      <x:c r="O6" s="36" t="n">
        <x:v>79</x:v>
      </x:c>
      <x:c r="P6" s="36" t="n">
        <x:v>1</x:v>
      </x:c>
      <x:c r="Q6" s="36" t="str"/>
      <x:c r="R6" s="36" t="str">
        <x:v>Not assessed: no named limited-source or requalification evidence.</x:v>
      </x:c>
      <x:c r="S6" s="36" t="n">
        <x:f>ROUND(25*('Scoring Method'!$B$5*H6+'Scoring Method'!$B$6*M6+'Scoring Method'!$B$7*J6+'Scoring Method'!$B$8*I6),0)</x:f>
        <x:v>79</x:v>
      </x:c>
      <x:c r="T6" s="36" t="n">
        <x:f>ROUND(S6*CHOOSE(VALUE(RIGHT(K6,1)),0.5,0.7,0.85,1),0)</x:f>
        <x:v>79</x:v>
      </x:c>
      <x:c r="U6" s="35" t="str">
        <x:v>https://dataclouds.cninfo.com.cn/shgonggao/hsomarket/2026/20260414/5bd24d0a9a3c41f5800a8230136d400a.PDF</x:v>
      </x:c>
    </x:row>
    <x:row r="7" ht="44" customHeight="1">
      <x:c r="A7" s="35" t="n">
        <x:v>3</x:v>
      </x:c>
      <x:c r="B7" s="35" t="n">
        <x:v>2</x:v>
      </x:c>
      <x:c r="C7" s="35" t="str">
        <x:v>北京晶品特装科技股份有限公司</x:v>
      </x:c>
      <x:c r="D7" s="35" t="str">
        <x:v>Beijing Jingpin Special Equipment Co. Ltd.</x:v>
      </x:c>
      <x:c r="E7" s="35" t="str">
        <x:v>military_robot_motion_and_EO_modules</x:v>
      </x:c>
      <x:c r="F7" s="35" t="str">
        <x:v>verified_production_enabler</x:v>
      </x:c>
      <x:c r="G7" s="35" t="str">
        <x:v>production_enabler</x:v>
      </x:c>
      <x:c r="H7" s="36" t="n">
        <x:v>3</x:v>
      </x:c>
      <x:c r="I7" s="36" t="n">
        <x:v>4</x:v>
      </x:c>
      <x:c r="J7" s="36" t="n">
        <x:v>2</x:v>
      </x:c>
      <x:c r="K7" s="36" t="str">
        <x:v>E4</x:v>
      </x:c>
      <x:c r="L7" s="36" t="str">
        <x:v>U4</x:v>
      </x:c>
      <x:c r="M7" s="36" t="n">
        <x:v>4</x:v>
      </x:c>
      <x:c r="N7" s="36" t="n">
        <x:v>79</x:v>
      </x:c>
      <x:c r="O7" s="36" t="n">
        <x:v>79</x:v>
      </x:c>
      <x:c r="P7" s="36" t="n">
        <x:v>1</x:v>
      </x:c>
      <x:c r="Q7" s="36" t="str"/>
      <x:c r="R7" s="36" t="str">
        <x:v>Not assessed: no named limited-source or requalification evidence.</x:v>
      </x:c>
      <x:c r="S7" s="36" t="n">
        <x:f>ROUND(25*('Scoring Method'!$B$5*H7+'Scoring Method'!$B$6*M7+'Scoring Method'!$B$7*J7+'Scoring Method'!$B$8*I7),0)</x:f>
        <x:v>79</x:v>
      </x:c>
      <x:c r="T7" s="36" t="n">
        <x:f>ROUND(S7*CHOOSE(VALUE(RIGHT(K7,1)),0.5,0.7,0.85,1),0)</x:f>
        <x:v>79</x:v>
      </x:c>
      <x:c r="U7" s="35" t="str">
        <x:v>https://static.cninfo.com.cn/finalpage/2025-04-29/1223380866.PDF</x:v>
      </x:c>
    </x:row>
    <x:row r="8" ht="44" customHeight="1">
      <x:c r="A8" s="35" t="n">
        <x:v>4</x:v>
      </x:c>
      <x:c r="B8" s="35" t="n">
        <x:v>2</x:v>
      </x:c>
      <x:c r="C8" s="35" t="str">
        <x:v>南京国博电子股份有限公司</x:v>
      </x:c>
      <x:c r="D8" s="35" t="str">
        <x:v>Nanjing Guobo Electronics Co. Ltd.</x:v>
      </x:c>
      <x:c r="E8" s="35" t="str">
        <x:v>AESA_TR_modules_and_RF_ICs</x:v>
      </x:c>
      <x:c r="F8" s="35" t="str">
        <x:v>verified_supplier</x:v>
      </x:c>
      <x:c r="G8" s="35" t="str">
        <x:v>component_or_subsystem_supplier</x:v>
      </x:c>
      <x:c r="H8" s="36" t="n">
        <x:v>3</x:v>
      </x:c>
      <x:c r="I8" s="36" t="n">
        <x:v>4</x:v>
      </x:c>
      <x:c r="J8" s="36" t="n">
        <x:v>2</x:v>
      </x:c>
      <x:c r="K8" s="36" t="str">
        <x:v>E4</x:v>
      </x:c>
      <x:c r="L8" s="36" t="str">
        <x:v>U4</x:v>
      </x:c>
      <x:c r="M8" s="36" t="n">
        <x:v>4</x:v>
      </x:c>
      <x:c r="N8" s="36" t="n">
        <x:v>79</x:v>
      </x:c>
      <x:c r="O8" s="36" t="n">
        <x:v>79</x:v>
      </x:c>
      <x:c r="P8" s="36" t="n">
        <x:v>2</x:v>
      </x:c>
      <x:c r="Q8" s="36" t="str"/>
      <x:c r="R8" s="36" t="str">
        <x:v>Not assessed: no named limited-source or requalification evidence.</x:v>
      </x:c>
      <x:c r="S8" s="36" t="n">
        <x:f>ROUND(25*('Scoring Method'!$B$5*H8+'Scoring Method'!$B$6*M8+'Scoring Method'!$B$7*J8+'Scoring Method'!$B$8*I8),0)</x:f>
        <x:v>79</x:v>
      </x:c>
      <x:c r="T8" s="36" t="n">
        <x:f>ROUND(S8*CHOOSE(VALUE(RIGHT(K8,1)),0.5,0.7,0.85,1),0)</x:f>
        <x:v>79</x:v>
      </x:c>
      <x:c r="U8" s="35" t="str">
        <x:v>https://static.cninfo.com.cn/finalpage/2026-04-10/1225090270.PDF | https://static.cninfo.com.cn/finalpage/2025-04-11/1223058747.PDF</x:v>
      </x:c>
    </x:row>
    <x:row r="9" ht="44" customHeight="1">
      <x:c r="A9" s="35" t="n">
        <x:v>5</x:v>
      </x:c>
      <x:c r="B9" s="35" t="n">
        <x:v>3</x:v>
      </x:c>
      <x:c r="C9" s="35" t="str">
        <x:v>成都天箭科技股份有限公司</x:v>
      </x:c>
      <x:c r="D9" s="35" t="str">
        <x:v>Chengdu Tianjian Technology Co. Ltd.</x:v>
      </x:c>
      <x:c r="E9" s="35" t="str">
        <x:v>radar_seeker_transmitters_and_RF_frontends</x:v>
      </x:c>
      <x:c r="F9" s="35" t="str">
        <x:v>verified_supplier</x:v>
      </x:c>
      <x:c r="G9" s="35" t="str">
        <x:v>component_or_subsystem_supplier</x:v>
      </x:c>
      <x:c r="H9" s="36" t="n">
        <x:v>3</x:v>
      </x:c>
      <x:c r="I9" s="36" t="n">
        <x:v>4</x:v>
      </x:c>
      <x:c r="J9" s="36" t="n">
        <x:v>2</x:v>
      </x:c>
      <x:c r="K9" s="36" t="str">
        <x:v>E4</x:v>
      </x:c>
      <x:c r="L9" s="36" t="str">
        <x:v>U5</x:v>
      </x:c>
      <x:c r="M9" s="36" t="n">
        <x:v>4</x:v>
      </x:c>
      <x:c r="N9" s="36" t="n">
        <x:v>79</x:v>
      </x:c>
      <x:c r="O9" s="36" t="n">
        <x:v>79</x:v>
      </x:c>
      <x:c r="P9" s="36" t="n">
        <x:v>2</x:v>
      </x:c>
      <x:c r="Q9" s="36" t="str"/>
      <x:c r="R9" s="36" t="str">
        <x:v>Not assessed: no named limited-source or requalification evidence.</x:v>
      </x:c>
      <x:c r="S9" s="36" t="n">
        <x:f>ROUND(25*('Scoring Method'!$B$5*H9+'Scoring Method'!$B$6*M9+'Scoring Method'!$B$7*J9+'Scoring Method'!$B$8*I9),0)</x:f>
        <x:v>79</x:v>
      </x:c>
      <x:c r="T9" s="36" t="n">
        <x:f>ROUND(S9*CHOOSE(VALUE(RIGHT(K9,1)),0.5,0.7,0.85,1),0)</x:f>
        <x:v>79</x:v>
      </x:c>
      <x:c r="U9" s="35" t="str">
        <x:v>https://static.cninfo.com.cn/finalpage/2025-04-23/1223218349.PDF | https://static.cninfo.com.cn/finalpage/2026-04-23/1225156050.PDF</x:v>
      </x:c>
    </x:row>
    <x:row r="10" ht="44" customHeight="1">
      <x:c r="A10" s="35" t="n">
        <x:v>6</x:v>
      </x:c>
      <x:c r="B10" s="35" t="n">
        <x:v>4</x:v>
      </x:c>
      <x:c r="C10" s="35" t="str">
        <x:v>北京新兴东方航空装备股份有限公司</x:v>
      </x:c>
      <x:c r="D10" s="35" t="str">
        <x:v>Beijing Emerging Eastern Aviation Equipment Co. Ltd.</x:v>
      </x:c>
      <x:c r="E10" s="35" t="str">
        <x:v>servo_control_and_precision_transmission</x:v>
      </x:c>
      <x:c r="F10" s="35" t="str">
        <x:v>verified_supplier</x:v>
      </x:c>
      <x:c r="G10" s="35" t="str">
        <x:v>component_or_subsystem_supplier</x:v>
      </x:c>
      <x:c r="H10" s="36" t="n">
        <x:v>3</x:v>
      </x:c>
      <x:c r="I10" s="36" t="n">
        <x:v>3</x:v>
      </x:c>
      <x:c r="J10" s="36" t="n">
        <x:v>2</x:v>
      </x:c>
      <x:c r="K10" s="36" t="str">
        <x:v>E4</x:v>
      </x:c>
      <x:c r="L10" s="36" t="str">
        <x:v>U5</x:v>
      </x:c>
      <x:c r="M10" s="36" t="n">
        <x:v>4</x:v>
      </x:c>
      <x:c r="N10" s="36" t="n">
        <x:v>75</x:v>
      </x:c>
      <x:c r="O10" s="36" t="n">
        <x:v>75</x:v>
      </x:c>
      <x:c r="P10" s="36" t="n">
        <x:v>1</x:v>
      </x:c>
      <x:c r="Q10" s="36" t="str"/>
      <x:c r="R10" s="36" t="str">
        <x:v>Not assessed: no named limited-source or requalification evidence.</x:v>
      </x:c>
      <x:c r="S10" s="36" t="n">
        <x:f>ROUND(25*('Scoring Method'!$B$5*H10+'Scoring Method'!$B$6*M10+'Scoring Method'!$B$7*J10+'Scoring Method'!$B$8*I10),0)</x:f>
        <x:v>75</x:v>
      </x:c>
      <x:c r="T10" s="36" t="n">
        <x:f>ROUND(S10*CHOOSE(VALUE(RIGHT(K10,1)),0.5,0.7,0.85,1),0)</x:f>
        <x:v>75</x:v>
      </x:c>
      <x:c r="U10" s="35" t="str">
        <x:v>https://static.cninfo.com.cn/finalpage/2026-04-10/1225090558.PDF</x:v>
      </x:c>
    </x:row>
    <x:row r="11" ht="44" customHeight="1">
      <x:c r="A11" s="35" t="n">
        <x:v>7</x:v>
      </x:c>
      <x:c r="B11" s="35" t="n">
        <x:v>5</x:v>
      </x:c>
      <x:c r="C11" s="35" t="str">
        <x:v>南京高华科技股份有限公司</x:v>
      </x:c>
      <x:c r="D11" s="35" t="str">
        <x:v>Nanjing Gaohua Technology Co. Ltd.</x:v>
      </x:c>
      <x:c r="E11" s="35" t="str">
        <x:v>MEMS_sensor_chips_and_condition_monitoring</x:v>
      </x:c>
      <x:c r="F11" s="35" t="str">
        <x:v>verified_supplier</x:v>
      </x:c>
      <x:c r="G11" s="35" t="str">
        <x:v>component_or_subsystem_supplier</x:v>
      </x:c>
      <x:c r="H11" s="36" t="n">
        <x:v>3</x:v>
      </x:c>
      <x:c r="I11" s="36" t="n">
        <x:v>3</x:v>
      </x:c>
      <x:c r="J11" s="36" t="n">
        <x:v>2</x:v>
      </x:c>
      <x:c r="K11" s="36" t="str">
        <x:v>E4</x:v>
      </x:c>
      <x:c r="L11" s="36" t="str">
        <x:v>U4</x:v>
      </x:c>
      <x:c r="M11" s="36" t="n">
        <x:v>4</x:v>
      </x:c>
      <x:c r="N11" s="36" t="n">
        <x:v>75</x:v>
      </x:c>
      <x:c r="O11" s="36" t="n">
        <x:v>75</x:v>
      </x:c>
      <x:c r="P11" s="36" t="n">
        <x:v>2</x:v>
      </x:c>
      <x:c r="Q11" s="36" t="str"/>
      <x:c r="R11" s="36" t="str">
        <x:v>Not assessed: no named limited-source or requalification evidence.</x:v>
      </x:c>
      <x:c r="S11" s="36" t="n">
        <x:f>ROUND(25*('Scoring Method'!$B$5*H11+'Scoring Method'!$B$6*M11+'Scoring Method'!$B$7*J11+'Scoring Method'!$B$8*I11),0)</x:f>
        <x:v>75</x:v>
      </x:c>
      <x:c r="T11" s="36" t="n">
        <x:f>ROUND(S11*CHOOSE(VALUE(RIGHT(K11,1)),0.5,0.7,0.85,1),0)</x:f>
        <x:v>75</x:v>
      </x:c>
      <x:c r="U11" s="35" t="str">
        <x:v>https://static.cninfo.com.cn/finalpage/2026-04-25/1225182440.PDF | https://static.cninfo.com.cn/finalpage/2026-04-25/1225182276.PDF</x:v>
      </x:c>
    </x:row>
    <x:row r="12" ht="44" customHeight="1">
      <x:c r="A12" s="35" t="n">
        <x:v>8</x:v>
      </x:c>
      <x:c r="B12" s="35" t="n">
        <x:v>6</x:v>
      </x:c>
      <x:c r="C12" s="35" t="str">
        <x:v>天津七一二通信广播股份有限公司</x:v>
      </x:c>
      <x:c r="D12" s="35" t="str">
        <x:v>Tianjin 712 Communication and Broadcasting Co. Ltd.</x:v>
      </x:c>
      <x:c r="E12" s="35" t="str">
        <x:v>military_wireless_and_unattended_system_comms</x:v>
      </x:c>
      <x:c r="F12" s="35" t="str">
        <x:v>verified_supplier</x:v>
      </x:c>
      <x:c r="G12" s="35" t="str">
        <x:v>component_or_subsystem_supplier</x:v>
      </x:c>
      <x:c r="H12" s="36" t="n">
        <x:v>3</x:v>
      </x:c>
      <x:c r="I12" s="36" t="n">
        <x:v>3</x:v>
      </x:c>
      <x:c r="J12" s="36" t="n">
        <x:v>3</x:v>
      </x:c>
      <x:c r="K12" s="36" t="str">
        <x:v>E4</x:v>
      </x:c>
      <x:c r="L12" s="36" t="str">
        <x:v>U3</x:v>
      </x:c>
      <x:c r="M12" s="36" t="n">
        <x:v>3</x:v>
      </x:c>
      <x:c r="N12" s="36" t="n">
        <x:v>75</x:v>
      </x:c>
      <x:c r="O12" s="36" t="n">
        <x:v>75</x:v>
      </x:c>
      <x:c r="P12" s="36" t="n">
        <x:v>1</x:v>
      </x:c>
      <x:c r="Q12" s="36" t="str"/>
      <x:c r="R12" s="36" t="str">
        <x:v>Not assessed: no named limited-source or requalification evidence.</x:v>
      </x:c>
      <x:c r="S12" s="36" t="n">
        <x:f>ROUND(25*('Scoring Method'!$B$5*H12+'Scoring Method'!$B$6*M12+'Scoring Method'!$B$7*J12+'Scoring Method'!$B$8*I12),0)</x:f>
        <x:v>75</x:v>
      </x:c>
      <x:c r="T12" s="36" t="n">
        <x:f>ROUND(S12*CHOOSE(VALUE(RIGHT(K12,1)),0.5,0.7,0.85,1),0)</x:f>
        <x:v>75</x:v>
      </x:c>
      <x:c r="U12" s="35" t="str">
        <x:v>https://static.cninfo.com.cn/finalpage/2025-04-23/1223214852.PDF</x:v>
      </x:c>
    </x:row>
    <x:row r="13" ht="44" customHeight="1">
      <x:c r="A13" s="35" t="n">
        <x:v>9</x:v>
      </x:c>
      <x:c r="B13" s="35" t="n">
        <x:v>7</x:v>
      </x:c>
      <x:c r="C13" s="35" t="str">
        <x:v>成都盟升电子技术股份有限公司</x:v>
      </x:c>
      <x:c r="D13" s="35" t="str">
        <x:v>Chengdu Mengsheng Electronic Technology Co. Ltd.</x:v>
      </x:c>
      <x:c r="E13" s="35" t="str">
        <x:v>tactical_navigation_datalinks_and_EW_terminals</x:v>
      </x:c>
      <x:c r="F13" s="35" t="str">
        <x:v>verified_supplier</x:v>
      </x:c>
      <x:c r="G13" s="35" t="str">
        <x:v>component_or_subsystem_supplier</x:v>
      </x:c>
      <x:c r="H13" s="36" t="n">
        <x:v>3</x:v>
      </x:c>
      <x:c r="I13" s="36" t="n">
        <x:v>3</x:v>
      </x:c>
      <x:c r="J13" s="36" t="n">
        <x:v>2</x:v>
      </x:c>
      <x:c r="K13" s="36" t="str">
        <x:v>E4</x:v>
      </x:c>
      <x:c r="L13" s="36" t="str">
        <x:v>U4</x:v>
      </x:c>
      <x:c r="M13" s="36" t="n">
        <x:v>4</x:v>
      </x:c>
      <x:c r="N13" s="36" t="n">
        <x:v>75</x:v>
      </x:c>
      <x:c r="O13" s="36" t="n">
        <x:v>75</x:v>
      </x:c>
      <x:c r="P13" s="36" t="n">
        <x:v>1</x:v>
      </x:c>
      <x:c r="Q13" s="36" t="str"/>
      <x:c r="R13" s="36" t="str">
        <x:v>Not assessed: no named limited-source or requalification evidence.</x:v>
      </x:c>
      <x:c r="S13" s="36" t="n">
        <x:f>ROUND(25*('Scoring Method'!$B$5*H13+'Scoring Method'!$B$6*M13+'Scoring Method'!$B$7*J13+'Scoring Method'!$B$8*I13),0)</x:f>
        <x:v>75</x:v>
      </x:c>
      <x:c r="T13" s="36" t="n">
        <x:f>ROUND(S13*CHOOSE(VALUE(RIGHT(K13,1)),0.5,0.7,0.85,1),0)</x:f>
        <x:v>75</x:v>
      </x:c>
      <x:c r="U13" s="35" t="str">
        <x:v>https://dataclouds.cninfo.com.cn/shgonggao/hsomarket/2026/20260421/25c6b2d9722b4c1990648cda477bc885.PDF</x:v>
      </x:c>
    </x:row>
    <x:row r="14" ht="44" customHeight="1">
      <x:c r="A14" s="35" t="n">
        <x:v>10</x:v>
      </x:c>
      <x:c r="B14" s="35" t="n">
        <x:v>8</x:v>
      </x:c>
      <x:c r="C14" s="35" t="str">
        <x:v>武汉高德红外股份有限公司</x:v>
      </x:c>
      <x:c r="D14" s="35" t="str">
        <x:v>Wuhan Guide Infrared Co. Ltd.</x:v>
      </x:c>
      <x:c r="E14" s="35" t="str">
        <x:v>IR_detectors_and_EO_systems</x:v>
      </x:c>
      <x:c r="F14" s="35" t="str">
        <x:v>verified_supplier</x:v>
      </x:c>
      <x:c r="G14" s="35" t="str">
        <x:v>component_or_subsystem_supplier</x:v>
      </x:c>
      <x:c r="H14" s="36" t="n">
        <x:v>3</x:v>
      </x:c>
      <x:c r="I14" s="36" t="n">
        <x:v>3</x:v>
      </x:c>
      <x:c r="J14" s="36" t="n">
        <x:v>2</x:v>
      </x:c>
      <x:c r="K14" s="36" t="str">
        <x:v>E4</x:v>
      </x:c>
      <x:c r="L14" s="36" t="str">
        <x:v>U4</x:v>
      </x:c>
      <x:c r="M14" s="36" t="n">
        <x:v>4</x:v>
      </x:c>
      <x:c r="N14" s="36" t="n">
        <x:v>75</x:v>
      </x:c>
      <x:c r="O14" s="36" t="n">
        <x:v>75</x:v>
      </x:c>
      <x:c r="P14" s="36" t="n">
        <x:v>1</x:v>
      </x:c>
      <x:c r="Q14" s="36" t="str"/>
      <x:c r="R14" s="36" t="str">
        <x:v>Not assessed: no named limited-source or requalification evidence.</x:v>
      </x:c>
      <x:c r="S14" s="36" t="n">
        <x:f>ROUND(25*('Scoring Method'!$B$5*H14+'Scoring Method'!$B$6*M14+'Scoring Method'!$B$7*J14+'Scoring Method'!$B$8*I14),0)</x:f>
        <x:v>75</x:v>
      </x:c>
      <x:c r="T14" s="36" t="n">
        <x:f>ROUND(S14*CHOOSE(VALUE(RIGHT(K14,1)),0.5,0.7,0.85,1),0)</x:f>
        <x:v>75</x:v>
      </x:c>
      <x:c r="U14" s="35" t="str">
        <x:v>https://static.cninfo.com.cn/finalpage/2025-04-25/1223276595.PDF</x:v>
      </x:c>
    </x:row>
    <x:row r="15" ht="44" customHeight="1">
      <x:c r="A15" s="35" t="n">
        <x:v>11</x:v>
      </x:c>
      <x:c r="B15" s="35" t="n">
        <x:v>9</x:v>
      </x:c>
      <x:c r="C15" s="35" t="str">
        <x:v>浙江臻镭科技股份有限公司</x:v>
      </x:c>
      <x:c r="D15" s="35" t="str">
        <x:v>Zhejiang Great Microwave Technology Co. Ltd.</x:v>
      </x:c>
      <x:c r="E15" s="35" t="str">
        <x:v>RF_data_conversion_power_and_microsystems</x:v>
      </x:c>
      <x:c r="F15" s="35" t="str">
        <x:v>verified_supplier</x:v>
      </x:c>
      <x:c r="G15" s="35" t="str">
        <x:v>component_or_subsystem_supplier</x:v>
      </x:c>
      <x:c r="H15" s="36" t="n">
        <x:v>3</x:v>
      </x:c>
      <x:c r="I15" s="36" t="n">
        <x:v>3</x:v>
      </x:c>
      <x:c r="J15" s="36" t="n">
        <x:v>2</x:v>
      </x:c>
      <x:c r="K15" s="36" t="str">
        <x:v>E4</x:v>
      </x:c>
      <x:c r="L15" s="36" t="str">
        <x:v>U4</x:v>
      </x:c>
      <x:c r="M15" s="36" t="n">
        <x:v>4</x:v>
      </x:c>
      <x:c r="N15" s="36" t="n">
        <x:v>75</x:v>
      </x:c>
      <x:c r="O15" s="36" t="n">
        <x:v>75</x:v>
      </x:c>
      <x:c r="P15" s="36" t="n">
        <x:v>1</x:v>
      </x:c>
      <x:c r="Q15" s="36" t="str"/>
      <x:c r="R15" s="36" t="str">
        <x:v>Not assessed: no named limited-source or requalification evidence.</x:v>
      </x:c>
      <x:c r="S15" s="36" t="n">
        <x:f>ROUND(25*('Scoring Method'!$B$5*H15+'Scoring Method'!$B$6*M15+'Scoring Method'!$B$7*J15+'Scoring Method'!$B$8*I15),0)</x:f>
        <x:v>75</x:v>
      </x:c>
      <x:c r="T15" s="36" t="n">
        <x:f>ROUND(S15*CHOOSE(VALUE(RIGHT(K15,1)),0.5,0.7,0.85,1),0)</x:f>
        <x:v>75</x:v>
      </x:c>
      <x:c r="U15" s="35" t="str">
        <x:v>https://dataclouds.cninfo.com.cn/shgonggao/hsomarket/2026/20260422/1fcf6b9a126e4790b11dc2a273b4d8a7.PDF</x:v>
      </x:c>
    </x:row>
    <x:row r="16" ht="44" customHeight="1">
      <x:c r="A16" s="35" t="n">
        <x:v>12</x:v>
      </x:c>
      <x:c r="B16" s="35" t="n">
        <x:v>10</x:v>
      </x:c>
      <x:c r="C16" s="35" t="str">
        <x:v>湖南航天环宇通信科技股份有限公司</x:v>
      </x:c>
      <x:c r="D16" s="35" t="str">
        <x:v>Hunan Aerospace Huanyu Communication Technology Co. Ltd.</x:v>
      </x:c>
      <x:c r="E16" s="35" t="str">
        <x:v>space_microwave_inertial_components_and_antennas</x:v>
      </x:c>
      <x:c r="F16" s="35" t="str">
        <x:v>verified_supplier</x:v>
      </x:c>
      <x:c r="G16" s="35" t="str">
        <x:v>component_or_subsystem_supplier</x:v>
      </x:c>
      <x:c r="H16" s="36" t="n">
        <x:v>3</x:v>
      </x:c>
      <x:c r="I16" s="36" t="n">
        <x:v>3</x:v>
      </x:c>
      <x:c r="J16" s="36" t="n">
        <x:v>2</x:v>
      </x:c>
      <x:c r="K16" s="36" t="str">
        <x:v>E4</x:v>
      </x:c>
      <x:c r="L16" s="36" t="str">
        <x:v>U4</x:v>
      </x:c>
      <x:c r="M16" s="36" t="n">
        <x:v>4</x:v>
      </x:c>
      <x:c r="N16" s="36" t="n">
        <x:v>75</x:v>
      </x:c>
      <x:c r="O16" s="36" t="n">
        <x:v>75</x:v>
      </x:c>
      <x:c r="P16" s="36" t="n">
        <x:v>1</x:v>
      </x:c>
      <x:c r="Q16" s="36" t="str"/>
      <x:c r="R16" s="36" t="str">
        <x:v>Not assessed: no named limited-source or requalification evidence.</x:v>
      </x:c>
      <x:c r="S16" s="36" t="n">
        <x:f>ROUND(25*('Scoring Method'!$B$5*H16+'Scoring Method'!$B$6*M16+'Scoring Method'!$B$7*J16+'Scoring Method'!$B$8*I16),0)</x:f>
        <x:v>75</x:v>
      </x:c>
      <x:c r="T16" s="36" t="n">
        <x:f>ROUND(S16*CHOOSE(VALUE(RIGHT(K16,1)),0.5,0.7,0.85,1),0)</x:f>
        <x:v>75</x:v>
      </x:c>
      <x:c r="U16" s="35" t="str">
        <x:v>https://static.cninfo.com.cn/finalpage/2025-08-15/1224487074.PDF</x:v>
      </x:c>
    </x:row>
    <x:row r="17" ht="44" customHeight="1">
      <x:c r="A17" s="35" t="n">
        <x:v>13</x:v>
      </x:c>
      <x:c r="B17" s="35" t="n">
        <x:v>11</x:v>
      </x:c>
      <x:c r="C17" s="35" t="str">
        <x:v>浙江铖昌科技股份有限公司</x:v>
      </x:c>
      <x:c r="D17" s="35" t="str">
        <x:v>Zhejiang Chengchang Technology Co. Ltd.</x:v>
      </x:c>
      <x:c r="E17" s="35" t="str">
        <x:v>GaN_GaAs_phased_array_TR_chips</x:v>
      </x:c>
      <x:c r="F17" s="35" t="str">
        <x:v>verified_supplier</x:v>
      </x:c>
      <x:c r="G17" s="35" t="str">
        <x:v>component_or_subsystem_supplier</x:v>
      </x:c>
      <x:c r="H17" s="36" t="n">
        <x:v>3</x:v>
      </x:c>
      <x:c r="I17" s="36" t="n">
        <x:v>4</x:v>
      </x:c>
      <x:c r="J17" s="36" t="n">
        <x:v>3</x:v>
      </x:c>
      <x:c r="K17" s="36" t="str">
        <x:v>E3</x:v>
      </x:c>
      <x:c r="L17" s="36" t="str">
        <x:v>U4</x:v>
      </x:c>
      <x:c r="M17" s="36" t="n">
        <x:v>4</x:v>
      </x:c>
      <x:c r="N17" s="36" t="n">
        <x:v>84</x:v>
      </x:c>
      <x:c r="O17" s="36" t="n">
        <x:v>71</x:v>
      </x:c>
      <x:c r="P17" s="36" t="n">
        <x:v>1</x:v>
      </x:c>
      <x:c r="Q17" s="36" t="str"/>
      <x:c r="R17" s="36" t="str">
        <x:v>Not assessed: no named limited-source or requalification evidence.</x:v>
      </x:c>
      <x:c r="S17" s="36" t="n">
        <x:f>ROUND(25*('Scoring Method'!$B$5*H17+'Scoring Method'!$B$6*M17+'Scoring Method'!$B$7*J17+'Scoring Method'!$B$8*I17),0)</x:f>
        <x:v>84</x:v>
      </x:c>
      <x:c r="T17" s="36" t="n">
        <x:f>ROUND(S17*CHOOSE(VALUE(RIGHT(K17,1)),0.5,0.7,0.85,1),0)</x:f>
        <x:v>71</x:v>
      </x:c>
      <x:c r="U17" s="35" t="str">
        <x:v>https://static.cninfo.com.cn/finalpage/2025-04-23/1223220400.PDF</x:v>
      </x:c>
    </x:row>
    <x:row r="18" ht="44" customHeight="1">
      <x:c r="A18" s="35" t="n">
        <x:v>14</x:v>
      </x:c>
      <x:c r="B18" s="35" t="n">
        <x:v>1</x:v>
      </x:c>
      <x:c r="C18" s="35" t="str">
        <x:v>航天时代电子技术股份有限公司</x:v>
      </x:c>
      <x:c r="D18" s="35" t="str">
        <x:v>China Aerospace Times Electronics Co. Ltd.</x:v>
      </x:c>
      <x:c r="E18" s="35" t="str">
        <x:v>unmanned_systems_and_aerospace_electronics_integration</x:v>
      </x:c>
      <x:c r="F18" s="35" t="str">
        <x:v>verified_supplier</x:v>
      </x:c>
      <x:c r="G18" s="35" t="str">
        <x:v>unmanned_systems_enabler</x:v>
      </x:c>
      <x:c r="H18" s="36" t="n">
        <x:v>3</x:v>
      </x:c>
      <x:c r="I18" s="36" t="n">
        <x:v>2</x:v>
      </x:c>
      <x:c r="J18" s="36" t="n">
        <x:v>2</x:v>
      </x:c>
      <x:c r="K18" s="36" t="str">
        <x:v>E4</x:v>
      </x:c>
      <x:c r="L18" s="36" t="str">
        <x:v>U4</x:v>
      </x:c>
      <x:c r="M18" s="36" t="n">
        <x:v>4</x:v>
      </x:c>
      <x:c r="N18" s="36" t="n">
        <x:v>71</x:v>
      </x:c>
      <x:c r="O18" s="36" t="n">
        <x:v>71</x:v>
      </x:c>
      <x:c r="P18" s="36" t="n">
        <x:v>1</x:v>
      </x:c>
      <x:c r="Q18" s="36" t="str"/>
      <x:c r="R18" s="36" t="str">
        <x:v>Not assessed: no named limited-source or requalification evidence.</x:v>
      </x:c>
      <x:c r="S18" s="36" t="n">
        <x:f>ROUND(25*('Scoring Method'!$B$5*H18+'Scoring Method'!$B$6*M18+'Scoring Method'!$B$7*J18+'Scoring Method'!$B$8*I18),0)</x:f>
        <x:v>71</x:v>
      </x:c>
      <x:c r="T18" s="36" t="n">
        <x:f>ROUND(S18*CHOOSE(VALUE(RIGHT(K18,1)),0.5,0.7,0.85,1),0)</x:f>
        <x:v>71</x:v>
      </x:c>
      <x:c r="U18" s="35" t="str">
        <x:v>https://dataclouds.cninfo.com.cn/shgonggao/hsomarket/2026/20260327/01fc31123b944c3396c26972e042ab76.PDF</x:v>
      </x:c>
    </x:row>
    <x:row r="19" ht="44" customHeight="1">
      <x:c r="A19" s="35" t="n">
        <x:v>15</x:v>
      </x:c>
      <x:c r="B19" s="35" t="n">
        <x:v>3</x:v>
      </x:c>
      <x:c r="C19" s="35" t="str">
        <x:v>中航光电科技股份有限公司</x:v>
      </x:c>
      <x:c r="D19" s="35" t="str">
        <x:v>AVIC Optoelectronics Technology Co. Ltd.</x:v>
      </x:c>
      <x:c r="E19" s="35" t="str">
        <x:v>high_reliability_interconnects_and_micro_motors</x:v>
      </x:c>
      <x:c r="F19" s="35" t="str">
        <x:v>verified_production_enabler</x:v>
      </x:c>
      <x:c r="G19" s="35" t="str">
        <x:v>production_enabler</x:v>
      </x:c>
      <x:c r="H19" s="36" t="n">
        <x:v>3</x:v>
      </x:c>
      <x:c r="I19" s="36" t="n">
        <x:v>3</x:v>
      </x:c>
      <x:c r="J19" s="36" t="n">
        <x:v>2</x:v>
      </x:c>
      <x:c r="K19" s="36" t="str">
        <x:v>E4</x:v>
      </x:c>
      <x:c r="L19" s="36" t="str">
        <x:v>U3</x:v>
      </x:c>
      <x:c r="M19" s="36" t="n">
        <x:v>3</x:v>
      </x:c>
      <x:c r="N19" s="36" t="n">
        <x:v>70</x:v>
      </x:c>
      <x:c r="O19" s="36" t="n">
        <x:v>70</x:v>
      </x:c>
      <x:c r="P19" s="36" t="n">
        <x:v>1</x:v>
      </x:c>
      <x:c r="Q19" s="36" t="str"/>
      <x:c r="R19" s="36" t="str">
        <x:v>Not assessed: no named limited-source or requalification evidence.</x:v>
      </x:c>
      <x:c r="S19" s="36" t="n">
        <x:f>ROUND(25*('Scoring Method'!$B$5*H19+'Scoring Method'!$B$6*M19+'Scoring Method'!$B$7*J19+'Scoring Method'!$B$8*I19),0)</x:f>
        <x:v>70</x:v>
      </x:c>
      <x:c r="T19" s="36" t="n">
        <x:f>ROUND(S19*CHOOSE(VALUE(RIGHT(K19,1)),0.5,0.7,0.85,1),0)</x:f>
        <x:v>70</x:v>
      </x:c>
      <x:c r="U19" s="35" t="str">
        <x:v>https://static.cninfo.com.cn/finalpage/2025-03-29/1222943981.PDF</x:v>
      </x:c>
    </x:row>
    <x:row r="20" ht="44" customHeight="1">
      <x:c r="A20" s="35" t="n">
        <x:v>16</x:v>
      </x:c>
      <x:c r="B20" s="35" t="n">
        <x:v>4</x:v>
      </x:c>
      <x:c r="C20" s="35" t="str">
        <x:v>广电计量检测集团股份有限公司</x:v>
      </x:c>
      <x:c r="D20" s="35" t="str">
        <x:v>GRG Metrology and Test Group Co. Ltd.</x:v>
      </x:c>
      <x:c r="E20" s="35" t="str">
        <x:v>software_EMC_reliability_and_acceptance_testing</x:v>
      </x:c>
      <x:c r="F20" s="35" t="str">
        <x:v>verified_production_enabler</x:v>
      </x:c>
      <x:c r="G20" s="35" t="str">
        <x:v>production_enabler</x:v>
      </x:c>
      <x:c r="H20" s="36" t="n">
        <x:v>3</x:v>
      </x:c>
      <x:c r="I20" s="36" t="n">
        <x:v>3</x:v>
      </x:c>
      <x:c r="J20" s="36" t="n">
        <x:v>2</x:v>
      </x:c>
      <x:c r="K20" s="36" t="str">
        <x:v>E4</x:v>
      </x:c>
      <x:c r="L20" s="36" t="str">
        <x:v>U3</x:v>
      </x:c>
      <x:c r="M20" s="36" t="n">
        <x:v>3</x:v>
      </x:c>
      <x:c r="N20" s="36" t="n">
        <x:v>70</x:v>
      </x:c>
      <x:c r="O20" s="36" t="n">
        <x:v>70</x:v>
      </x:c>
      <x:c r="P20" s="36" t="n">
        <x:v>1</x:v>
      </x:c>
      <x:c r="Q20" s="36" t="str"/>
      <x:c r="R20" s="36" t="str">
        <x:v>Not assessed: no named limited-source or requalification evidence.</x:v>
      </x:c>
      <x:c r="S20" s="36" t="n">
        <x:f>ROUND(25*('Scoring Method'!$B$5*H20+'Scoring Method'!$B$6*M20+'Scoring Method'!$B$7*J20+'Scoring Method'!$B$8*I20),0)</x:f>
        <x:v>70</x:v>
      </x:c>
      <x:c r="T20" s="36" t="n">
        <x:f>ROUND(S20*CHOOSE(VALUE(RIGHT(K20,1)),0.5,0.7,0.85,1),0)</x:f>
        <x:v>70</x:v>
      </x:c>
      <x:c r="U20" s="35" t="str">
        <x:v>https://static.cninfo.com.cn/finalpage/2026-03-27/1225036876.PDF</x:v>
      </x:c>
    </x:row>
    <x:row r="21" ht="44" customHeight="1">
      <x:c r="A21" s="35" t="n">
        <x:v>17</x:v>
      </x:c>
      <x:c r="B21" s="35" t="n">
        <x:v>2</x:v>
      </x:c>
      <x:c r="C21" s="35" t="str">
        <x:v>航天工业发展股份有限公司</x:v>
      </x:c>
      <x:c r="D21" s="35" t="str">
        <x:v>Aerospace Industrial Development Co. Ltd.</x:v>
      </x:c>
      <x:c r="E21" s="35" t="str">
        <x:v>military_networks_C2_and_UAV_comms_nodes</x:v>
      </x:c>
      <x:c r="F21" s="35" t="str">
        <x:v>verified_supplier</x:v>
      </x:c>
      <x:c r="G21" s="35" t="str">
        <x:v>unmanned_systems_enabler</x:v>
      </x:c>
      <x:c r="H21" s="36" t="n">
        <x:v>3</x:v>
      </x:c>
      <x:c r="I21" s="36" t="n">
        <x:v>3</x:v>
      </x:c>
      <x:c r="J21" s="36" t="n">
        <x:v>2</x:v>
      </x:c>
      <x:c r="K21" s="36" t="str">
        <x:v>E4</x:v>
      </x:c>
      <x:c r="L21" s="36" t="str">
        <x:v>U3</x:v>
      </x:c>
      <x:c r="M21" s="36" t="n">
        <x:v>3</x:v>
      </x:c>
      <x:c r="N21" s="36" t="n">
        <x:v>70</x:v>
      </x:c>
      <x:c r="O21" s="36" t="n">
        <x:v>70</x:v>
      </x:c>
      <x:c r="P21" s="36" t="n">
        <x:v>1</x:v>
      </x:c>
      <x:c r="Q21" s="36" t="str"/>
      <x:c r="R21" s="36" t="str">
        <x:v>Not assessed: no named limited-source or requalification evidence.</x:v>
      </x:c>
      <x:c r="S21" s="36" t="n">
        <x:f>ROUND(25*('Scoring Method'!$B$5*H21+'Scoring Method'!$B$6*M21+'Scoring Method'!$B$7*J21+'Scoring Method'!$B$8*I21),0)</x:f>
        <x:v>70</x:v>
      </x:c>
      <x:c r="T21" s="36" t="n">
        <x:f>ROUND(S21*CHOOSE(VALUE(RIGHT(K21,1)),0.5,0.7,0.85,1),0)</x:f>
        <x:v>70</x:v>
      </x:c>
      <x:c r="U21" s="35" t="str">
        <x:v>https://static.cninfo.com.cn/finalpage/2026-04-29/1225247825.PDF</x:v>
      </x:c>
    </x:row>
    <x:row r="22" ht="44" customHeight="1">
      <x:c r="A22" s="35" t="n">
        <x:v>18</x:v>
      </x:c>
      <x:c r="B22" s="35" t="n">
        <x:v>5</x:v>
      </x:c>
      <x:c r="C22" s="35" t="str">
        <x:v>航天科技控股集团股份有限公司</x:v>
      </x:c>
      <x:c r="D22" s="35" t="str">
        <x:v>Aerospace Science and Technology Holding Group Co. Ltd.</x:v>
      </x:c>
      <x:c r="E22" s="35" t="str">
        <x:v>accelerometers_inertial_servo_and_test_equipment</x:v>
      </x:c>
      <x:c r="F22" s="35" t="str">
        <x:v>verified_production_enabler</x:v>
      </x:c>
      <x:c r="G22" s="35" t="str">
        <x:v>production_enabler</x:v>
      </x:c>
      <x:c r="H22" s="36" t="n">
        <x:v>3</x:v>
      </x:c>
      <x:c r="I22" s="36" t="n">
        <x:v>3</x:v>
      </x:c>
      <x:c r="J22" s="36" t="n">
        <x:v>3</x:v>
      </x:c>
      <x:c r="K22" s="36" t="str">
        <x:v>E3</x:v>
      </x:c>
      <x:c r="L22" s="36" t="str">
        <x:v>U3</x:v>
      </x:c>
      <x:c r="M22" s="36" t="n">
        <x:v>3</x:v>
      </x:c>
      <x:c r="N22" s="36" t="n">
        <x:v>75</x:v>
      </x:c>
      <x:c r="O22" s="36" t="n">
        <x:v>64</x:v>
      </x:c>
      <x:c r="P22" s="36" t="n">
        <x:v>1</x:v>
      </x:c>
      <x:c r="Q22" s="36" t="str"/>
      <x:c r="R22" s="36" t="str">
        <x:v>Not assessed: no named limited-source or requalification evidence.</x:v>
      </x:c>
      <x:c r="S22" s="36" t="n">
        <x:f>ROUND(25*('Scoring Method'!$B$5*H22+'Scoring Method'!$B$6*M22+'Scoring Method'!$B$7*J22+'Scoring Method'!$B$8*I22),0)</x:f>
        <x:v>75</x:v>
      </x:c>
      <x:c r="T22" s="36" t="n">
        <x:f>ROUND(S22*CHOOSE(VALUE(RIGHT(K22,1)),0.5,0.7,0.85,1),0)</x:f>
        <x:v>64</x:v>
      </x:c>
      <x:c r="U22" s="35" t="str">
        <x:v>https://static.cninfo.com.cn/finalpage/2025-08-27/1224574611.PDF</x:v>
      </x:c>
    </x:row>
    <x:row r="23" ht="44" customHeight="1">
      <x:c r="A23" s="35" t="n">
        <x:v>19</x:v>
      </x:c>
      <x:c r="B23" s="35" t="n">
        <x:v>12</x:v>
      </x:c>
      <x:c r="C23" s="35" t="str">
        <x:v>烟台睿创微纳技术股份有限公司</x:v>
      </x:c>
      <x:c r="D23" s="35" t="str">
        <x:v>Yantai Raytron Technology Co. Ltd.</x:v>
      </x:c>
      <x:c r="E23" s="35" t="str">
        <x:v>IR_detectors_thermal_cores_TR_and_laser_ranging</x:v>
      </x:c>
      <x:c r="F23" s="35" t="str">
        <x:v>verified_supplier</x:v>
      </x:c>
      <x:c r="G23" s="35" t="str">
        <x:v>component_or_subsystem_supplier</x:v>
      </x:c>
      <x:c r="H23" s="36" t="n">
        <x:v>3</x:v>
      </x:c>
      <x:c r="I23" s="36" t="n">
        <x:v>4</x:v>
      </x:c>
      <x:c r="J23" s="36" t="n">
        <x:v>2</x:v>
      </x:c>
      <x:c r="K23" s="36" t="str">
        <x:v>E3</x:v>
      </x:c>
      <x:c r="L23" s="36" t="str">
        <x:v>U3</x:v>
      </x:c>
      <x:c r="M23" s="36" t="n">
        <x:v>3</x:v>
      </x:c>
      <x:c r="N23" s="36" t="n">
        <x:v>74</x:v>
      </x:c>
      <x:c r="O23" s="36" t="n">
        <x:v>63</x:v>
      </x:c>
      <x:c r="P23" s="36" t="n">
        <x:v>1</x:v>
      </x:c>
      <x:c r="Q23" s="36" t="str"/>
      <x:c r="R23" s="36" t="str">
        <x:v>Not assessed: no named limited-source or requalification evidence.</x:v>
      </x:c>
      <x:c r="S23" s="36" t="n">
        <x:f>ROUND(25*('Scoring Method'!$B$5*H23+'Scoring Method'!$B$6*M23+'Scoring Method'!$B$7*J23+'Scoring Method'!$B$8*I23),0)</x:f>
        <x:v>74</x:v>
      </x:c>
      <x:c r="T23" s="36" t="n">
        <x:f>ROUND(S23*CHOOSE(VALUE(RIGHT(K23,1)),0.5,0.7,0.85,1),0)</x:f>
        <x:v>63</x:v>
      </x:c>
      <x:c r="U23" s="35" t="str">
        <x:v>https://dataclouds.cninfo.com.cn/shgonggao/hsomarket/2026/20260409/bd5b9430f4f748bb9810c6a6fbcb645e.PDF</x:v>
      </x:c>
    </x:row>
    <x:row r="24" ht="44" customHeight="1">
      <x:c r="A24" s="35" t="n">
        <x:v>20</x:v>
      </x:c>
      <x:c r="B24" s="35" t="n">
        <x:v>13</x:v>
      </x:c>
      <x:c r="C24" s="35" t="str">
        <x:v>中航机载系统股份有限公司</x:v>
      </x:c>
      <x:c r="D24" s="35" t="str">
        <x:v>AVIC Airborne Systems Co. Ltd.</x:v>
      </x:c>
      <x:c r="E24" s="35" t="str">
        <x:v>flight_control_INS_and_avionics</x:v>
      </x:c>
      <x:c r="F24" s="35" t="str">
        <x:v>verified_supplier</x:v>
      </x:c>
      <x:c r="G24" s="35" t="str">
        <x:v>component_or_subsystem_supplier</x:v>
      </x:c>
      <x:c r="H24" s="36" t="n">
        <x:v>3</x:v>
      </x:c>
      <x:c r="I24" s="36" t="n">
        <x:v>3</x:v>
      </x:c>
      <x:c r="J24" s="36" t="n">
        <x:v>2</x:v>
      </x:c>
      <x:c r="K24" s="36" t="str">
        <x:v>E3</x:v>
      </x:c>
      <x:c r="L24" s="36" t="str">
        <x:v>U3</x:v>
      </x:c>
      <x:c r="M24" s="36" t="n">
        <x:v>3</x:v>
      </x:c>
      <x:c r="N24" s="36" t="n">
        <x:v>70</x:v>
      </x:c>
      <x:c r="O24" s="36" t="n">
        <x:v>60</x:v>
      </x:c>
      <x:c r="P24" s="36" t="n">
        <x:v>1</x:v>
      </x:c>
      <x:c r="Q24" s="36" t="str"/>
      <x:c r="R24" s="36" t="str">
        <x:v>Not assessed: no named limited-source or requalification evidence.</x:v>
      </x:c>
      <x:c r="S24" s="36" t="n">
        <x:f>ROUND(25*('Scoring Method'!$B$5*H24+'Scoring Method'!$B$6*M24+'Scoring Method'!$B$7*J24+'Scoring Method'!$B$8*I24),0)</x:f>
        <x:v>70</x:v>
      </x:c>
      <x:c r="T24" s="36" t="n">
        <x:f>ROUND(S24*CHOOSE(VALUE(RIGHT(K24,1)),0.5,0.7,0.85,1),0)</x:f>
        <x:v>60</x:v>
      </x:c>
      <x:c r="U24" s="35" t="str">
        <x:v>https://static.cninfo.com.cn/finalpage/2025-03-29/1222952075.PDF</x:v>
      </x:c>
    </x:row>
    <x:row r="25" ht="44" customHeight="1">
      <x:c r="A25" s="35" t="n">
        <x:v>21</x:v>
      </x:c>
      <x:c r="B25" s="35" t="n">
        <x:v>14</x:v>
      </x:c>
      <x:c r="C25" s="35" t="str">
        <x:v>广州海格通信集团股份有限公司</x:v>
      </x:c>
      <x:c r="D25" s="35" t="str">
        <x:v>Guangzhou Haige Communications Group Inc.</x:v>
      </x:c>
      <x:c r="E25" s="35" t="str">
        <x:v>tactical_datalinks_and_BeiDou</x:v>
      </x:c>
      <x:c r="F25" s="35" t="str">
        <x:v>verified_supplier</x:v>
      </x:c>
      <x:c r="G25" s="35" t="str">
        <x:v>component_or_subsystem_supplier</x:v>
      </x:c>
      <x:c r="H25" s="36" t="n">
        <x:v>3</x:v>
      </x:c>
      <x:c r="I25" s="36" t="n">
        <x:v>3</x:v>
      </x:c>
      <x:c r="J25" s="36" t="n">
        <x:v>2</x:v>
      </x:c>
      <x:c r="K25" s="36" t="str">
        <x:v>E3</x:v>
      </x:c>
      <x:c r="L25" s="36" t="str">
        <x:v>U3</x:v>
      </x:c>
      <x:c r="M25" s="36" t="n">
        <x:v>3</x:v>
      </x:c>
      <x:c r="N25" s="36" t="n">
        <x:v>70</x:v>
      </x:c>
      <x:c r="O25" s="36" t="n">
        <x:v>60</x:v>
      </x:c>
      <x:c r="P25" s="36" t="n">
        <x:v>1</x:v>
      </x:c>
      <x:c r="Q25" s="36" t="str"/>
      <x:c r="R25" s="36" t="str">
        <x:v>Not assessed: no named limited-source or requalification evidence.</x:v>
      </x:c>
      <x:c r="S25" s="36" t="n">
        <x:f>ROUND(25*('Scoring Method'!$B$5*H25+'Scoring Method'!$B$6*M25+'Scoring Method'!$B$7*J25+'Scoring Method'!$B$8*I25),0)</x:f>
        <x:v>70</x:v>
      </x:c>
      <x:c r="T25" s="36" t="n">
        <x:f>ROUND(S25*CHOOSE(VALUE(RIGHT(K25,1)),0.5,0.7,0.85,1),0)</x:f>
        <x:v>60</x:v>
      </x:c>
      <x:c r="U25" s="35" t="str">
        <x:v>https://static.cninfo.com.cn/finalpage/2025-03-29/1222948694.PDF</x:v>
      </x:c>
    </x:row>
    <x:row r="26" ht="44" customHeight="1">
      <x:c r="A26" s="35" t="n">
        <x:v>22</x:v>
      </x:c>
      <x:c r="B26" s="35" t="n">
        <x:v>15</x:v>
      </x:c>
      <x:c r="C26" s="35" t="str">
        <x:v>成都天奥电子股份有限公司</x:v>
      </x:c>
      <x:c r="D26" s="35" t="str">
        <x:v>Chengdu Tianao Electronics Co. Ltd.</x:v>
      </x:c>
      <x:c r="E26" s="35" t="str">
        <x:v>atomic_clocks_timing_and_BeiDou</x:v>
      </x:c>
      <x:c r="F26" s="35" t="str">
        <x:v>verified_supplier</x:v>
      </x:c>
      <x:c r="G26" s="35" t="str">
        <x:v>component_or_subsystem_supplier</x:v>
      </x:c>
      <x:c r="H26" s="36" t="n">
        <x:v>3</x:v>
      </x:c>
      <x:c r="I26" s="36" t="n">
        <x:v>3</x:v>
      </x:c>
      <x:c r="J26" s="36" t="n">
        <x:v>2</x:v>
      </x:c>
      <x:c r="K26" s="36" t="str">
        <x:v>E3</x:v>
      </x:c>
      <x:c r="L26" s="36" t="str">
        <x:v>U3</x:v>
      </x:c>
      <x:c r="M26" s="36" t="n">
        <x:v>3</x:v>
      </x:c>
      <x:c r="N26" s="36" t="n">
        <x:v>70</x:v>
      </x:c>
      <x:c r="O26" s="36" t="n">
        <x:v>60</x:v>
      </x:c>
      <x:c r="P26" s="36" t="n">
        <x:v>1</x:v>
      </x:c>
      <x:c r="Q26" s="36" t="str"/>
      <x:c r="R26" s="36" t="str">
        <x:v>Not assessed: no named limited-source or requalification evidence.</x:v>
      </x:c>
      <x:c r="S26" s="36" t="n">
        <x:f>ROUND(25*('Scoring Method'!$B$5*H26+'Scoring Method'!$B$6*M26+'Scoring Method'!$B$7*J26+'Scoring Method'!$B$8*I26),0)</x:f>
        <x:v>70</x:v>
      </x:c>
      <x:c r="T26" s="36" t="n">
        <x:f>ROUND(S26*CHOOSE(VALUE(RIGHT(K26,1)),0.5,0.7,0.85,1),0)</x:f>
        <x:v>60</x:v>
      </x:c>
      <x:c r="U26" s="35" t="str">
        <x:v>https://static.cninfo.com.cn/finalpage/2025-04-12/1223068986.PDF</x:v>
      </x:c>
    </x:row>
    <x:row r="27" ht="44" customHeight="1">
      <x:c r="A27" s="35" t="n">
        <x:v>23</x:v>
      </x:c>
      <x:c r="B27" s="35" t="n">
        <x:v>6</x:v>
      </x:c>
      <x:c r="C27" s="35" t="str">
        <x:v>科德数控股份有限公司</x:v>
      </x:c>
      <x:c r="D27" s="35" t="str">
        <x:v>Kede Numerical Control Co. Ltd.</x:v>
      </x:c>
      <x:c r="E27" s="35" t="str">
        <x:v>CNC_controls_servo_drives_and_machine_tool_components</x:v>
      </x:c>
      <x:c r="F27" s="35" t="str">
        <x:v>verified_production_enabler</x:v>
      </x:c>
      <x:c r="G27" s="35" t="str">
        <x:v>production_enabler</x:v>
      </x:c>
      <x:c r="H27" s="36" t="n">
        <x:v>3</x:v>
      </x:c>
      <x:c r="I27" s="36" t="n">
        <x:v>3</x:v>
      </x:c>
      <x:c r="J27" s="36" t="n">
        <x:v>2</x:v>
      </x:c>
      <x:c r="K27" s="36" t="str">
        <x:v>E3</x:v>
      </x:c>
      <x:c r="L27" s="36" t="str">
        <x:v>U3</x:v>
      </x:c>
      <x:c r="M27" s="36" t="n">
        <x:v>3</x:v>
      </x:c>
      <x:c r="N27" s="36" t="n">
        <x:v>70</x:v>
      </x:c>
      <x:c r="O27" s="36" t="n">
        <x:v>60</x:v>
      </x:c>
      <x:c r="P27" s="36" t="n">
        <x:v>1</x:v>
      </x:c>
      <x:c r="Q27" s="36" t="str"/>
      <x:c r="R27" s="36" t="str">
        <x:v>Not assessed: no named limited-source or requalification evidence.</x:v>
      </x:c>
      <x:c r="S27" s="36" t="n">
        <x:f>ROUND(25*('Scoring Method'!$B$5*H27+'Scoring Method'!$B$6*M27+'Scoring Method'!$B$7*J27+'Scoring Method'!$B$8*I27),0)</x:f>
        <x:v>70</x:v>
      </x:c>
      <x:c r="T27" s="36" t="n">
        <x:f>ROUND(S27*CHOOSE(VALUE(RIGHT(K27,1)),0.5,0.7,0.85,1),0)</x:f>
        <x:v>60</x:v>
      </x:c>
      <x:c r="U27" s="35" t="str">
        <x:v>https://static.cninfo.com.cn/finalpage/2026-04-21/1225129206.PDF</x:v>
      </x:c>
    </x:row>
    <x:row r="28" ht="44" customHeight="1">
      <x:c r="A28" s="35" t="n">
        <x:v>24</x:v>
      </x:c>
      <x:c r="B28" s="35" t="n">
        <x:v>7</x:v>
      </x:c>
      <x:c r="C28" s="35" t="str">
        <x:v>西安西测测试技术股份有限公司</x:v>
      </x:c>
      <x:c r="D28" s="35" t="str">
        <x:v>Xi'an Xice Testing Technology Co. Ltd.</x:v>
      </x:c>
      <x:c r="E28" s="35" t="str">
        <x:v>environmental_reliability_EMC_and_component_screening</x:v>
      </x:c>
      <x:c r="F28" s="35" t="str">
        <x:v>verified_production_enabler</x:v>
      </x:c>
      <x:c r="G28" s="35" t="str">
        <x:v>production_enabler</x:v>
      </x:c>
      <x:c r="H28" s="36" t="n">
        <x:v>3</x:v>
      </x:c>
      <x:c r="I28" s="36" t="n">
        <x:v>3</x:v>
      </x:c>
      <x:c r="J28" s="36" t="n">
        <x:v>2</x:v>
      </x:c>
      <x:c r="K28" s="36" t="str">
        <x:v>E3</x:v>
      </x:c>
      <x:c r="L28" s="36" t="str">
        <x:v>U3</x:v>
      </x:c>
      <x:c r="M28" s="36" t="n">
        <x:v>3</x:v>
      </x:c>
      <x:c r="N28" s="36" t="n">
        <x:v>70</x:v>
      </x:c>
      <x:c r="O28" s="36" t="n">
        <x:v>60</x:v>
      </x:c>
      <x:c r="P28" s="36" t="n">
        <x:v>1</x:v>
      </x:c>
      <x:c r="Q28" s="36" t="str"/>
      <x:c r="R28" s="36" t="str">
        <x:v>Not assessed: no named limited-source or requalification evidence.</x:v>
      </x:c>
      <x:c r="S28" s="36" t="n">
        <x:f>ROUND(25*('Scoring Method'!$B$5*H28+'Scoring Method'!$B$6*M28+'Scoring Method'!$B$7*J28+'Scoring Method'!$B$8*I28),0)</x:f>
        <x:v>70</x:v>
      </x:c>
      <x:c r="T28" s="36" t="n">
        <x:f>ROUND(S28*CHOOSE(VALUE(RIGHT(K28,1)),0.5,0.7,0.85,1),0)</x:f>
        <x:v>60</x:v>
      </x:c>
      <x:c r="U28" s="35" t="str">
        <x:v>https://static.cninfo.com.cn/finalpage/2026-04-28/1225217143.PDF</x:v>
      </x:c>
    </x:row>
    <x:row r="29" ht="44" customHeight="1">
      <x:c r="A29" s="35" t="n">
        <x:v>25</x:v>
      </x:c>
      <x:c r="B29" s="35" t="n">
        <x:v>8</x:v>
      </x:c>
      <x:c r="C29" s="35" t="str">
        <x:v>广东熙瑞智能科技有限公司</x:v>
      </x:c>
      <x:c r="D29" s="35" t="str">
        <x:v>Guangdong Xirui Intelligent Technology Co. Ltd.</x:v>
      </x:c>
      <x:c r="E29" s="35" t="str">
        <x:v>robotic_grinding_and_shipyard_production_automation</x:v>
      </x:c>
      <x:c r="F29" s="35" t="str">
        <x:v>verified_production_enabler</x:v>
      </x:c>
      <x:c r="G29" s="35" t="str">
        <x:v>production_enabler</x:v>
      </x:c>
      <x:c r="H29" s="36" t="n">
        <x:v>2</x:v>
      </x:c>
      <x:c r="I29" s="36" t="n">
        <x:v>3</x:v>
      </x:c>
      <x:c r="J29" s="36" t="n">
        <x:v>1</x:v>
      </x:c>
      <x:c r="K29" s="36" t="str">
        <x:v>E4</x:v>
      </x:c>
      <x:c r="L29" s="36" t="str">
        <x:v>U3</x:v>
      </x:c>
      <x:c r="M29" s="36" t="n">
        <x:v>3</x:v>
      </x:c>
      <x:c r="N29" s="36" t="n">
        <x:v>54</x:v>
      </x:c>
      <x:c r="O29" s="36" t="n">
        <x:v>54</x:v>
      </x:c>
      <x:c r="P29" s="36" t="n">
        <x:v>3</x:v>
      </x:c>
      <x:c r="Q29" s="36" t="str"/>
      <x:c r="R29" s="36" t="str">
        <x:v>Not assessed: no named limited-source or requalification evidence.</x:v>
      </x:c>
      <x:c r="S29" s="36" t="n">
        <x:f>ROUND(25*('Scoring Method'!$B$5*H29+'Scoring Method'!$B$6*M29+'Scoring Method'!$B$7*J29+'Scoring Method'!$B$8*I29),0)</x:f>
        <x:v>54</x:v>
      </x:c>
      <x:c r="T29" s="36" t="n">
        <x:f>ROUND(S29*CHOOSE(VALUE(RIGHT(K29,1)),0.5,0.7,0.85,1),0)</x:f>
        <x:v>54</x:v>
      </x:c>
      <x:c r="U29" s="35" t="str">
        <x:v>https://csscbidding.com/jyxx/003001/003001004/20250825/5a186f89-8939-4634-9bdc-bb09d21cbcbb.html | https://csscbidding.com/jyxx/003001/003001004/20250825/fc564718-4800-43a3-b82a-02c5058139fe.html | https://www.kczg.org.cn/org/orgdetail?id=356793</x:v>
      </x:c>
    </x:row>
    <x:row r="30" ht="44" customHeight="1">
      <x:c r="A30" s="35" t="str"/>
      <x:c r="B30" s="35" t="str"/>
      <x:c r="C30" s="35" t="str">
        <x:v>北京星网宇达科技股份有限公司</x:v>
      </x:c>
      <x:c r="D30" s="35" t="str">
        <x:v>Beijing StarNeto Technology Co. Ltd.</x:v>
      </x:c>
      <x:c r="E30" s="35" t="str">
        <x:v>INS_EO_payloads_actuators_datalinks</x:v>
      </x:c>
      <x:c r="F30" s="35" t="str">
        <x:v>bounded_supplier_assessment</x:v>
      </x:c>
      <x:c r="G30" s="35" t="str">
        <x:v>component_or_subsystem_supplier</x:v>
      </x:c>
      <x:c r="H30" s="36" t="n">
        <x:v>3</x:v>
      </x:c>
      <x:c r="I30" s="36" t="n">
        <x:v>4</x:v>
      </x:c>
      <x:c r="J30" s="36" t="n">
        <x:v>3</x:v>
      </x:c>
      <x:c r="K30" s="36" t="str">
        <x:v>E3</x:v>
      </x:c>
      <x:c r="L30" s="36" t="str">
        <x:v>U2</x:v>
      </x:c>
      <x:c r="M30" s="36" t="n">
        <x:v>2</x:v>
      </x:c>
      <x:c r="N30" s="36" t="n">
        <x:v>74</x:v>
      </x:c>
      <x:c r="O30" s="36" t="n">
        <x:v>63</x:v>
      </x:c>
      <x:c r="P30" s="36" t="n">
        <x:v>2</x:v>
      </x:c>
      <x:c r="Q30" s="36" t="str"/>
      <x:c r="R30" s="36" t="str">
        <x:v>Not assessed: no named limited-source or requalification evidence.</x:v>
      </x:c>
      <x:c r="S30" s="36" t="n">
        <x:f>ROUND(25*('Scoring Method'!$B$5*H30+'Scoring Method'!$B$6*M30+'Scoring Method'!$B$7*J30+'Scoring Method'!$B$8*I30),0)</x:f>
        <x:v>74</x:v>
      </x:c>
      <x:c r="T30" s="36" t="n">
        <x:f>ROUND(S30*CHOOSE(VALUE(RIGHT(K30,1)),0.5,0.7,0.85,1),0)</x:f>
        <x:v>63</x:v>
      </x:c>
      <x:c r="U30" s="35" t="str">
        <x:v>https://static.cninfo.com.cn/finalpage/2025-08-29/1224614260.PDF | https://static.cninfo.com.cn/finalpage/2025-04-28/1223316273.PDF</x:v>
      </x:c>
    </x:row>
    <x:row r="31" ht="44" customHeight="1">
      <x:c r="A31" s="35" t="str"/>
      <x:c r="B31" s="35" t="str"/>
      <x:c r="C31" s="35" t="str">
        <x:v>北京富吉瑞光电科技股份有限公司</x:v>
      </x:c>
      <x:c r="D31" s="35" t="str">
        <x:v>Beijing Fujirui Optoelectronic Technology Co. Ltd.</x:v>
      </x:c>
      <x:c r="E31" s="35" t="str">
        <x:v>cooled_IR_detector_packaging_cryocoolers_and_pointing_actuators</x:v>
      </x:c>
      <x:c r="F31" s="35" t="str">
        <x:v>bounded_supplier_assessment</x:v>
      </x:c>
      <x:c r="G31" s="35" t="str">
        <x:v>component_or_subsystem_supplier</x:v>
      </x:c>
      <x:c r="H31" s="36" t="n">
        <x:v>3</x:v>
      </x:c>
      <x:c r="I31" s="36" t="n">
        <x:v>4</x:v>
      </x:c>
      <x:c r="J31" s="36" t="n">
        <x:v>2</x:v>
      </x:c>
      <x:c r="K31" s="36" t="str">
        <x:v>E3</x:v>
      </x:c>
      <x:c r="L31" s="36" t="str">
        <x:v>U2</x:v>
      </x:c>
      <x:c r="M31" s="36" t="n">
        <x:v>2</x:v>
      </x:c>
      <x:c r="N31" s="36" t="n">
        <x:v>69</x:v>
      </x:c>
      <x:c r="O31" s="36" t="n">
        <x:v>59</x:v>
      </x:c>
      <x:c r="P31" s="36" t="n">
        <x:v>1</x:v>
      </x:c>
      <x:c r="Q31" s="36" t="str"/>
      <x:c r="R31" s="36" t="str">
        <x:v>Not assessed: no named limited-source or requalification evidence.</x:v>
      </x:c>
      <x:c r="S31" s="36" t="n">
        <x:f>ROUND(25*('Scoring Method'!$B$5*H31+'Scoring Method'!$B$6*M31+'Scoring Method'!$B$7*J31+'Scoring Method'!$B$8*I31),0)</x:f>
        <x:v>69</x:v>
      </x:c>
      <x:c r="T31" s="36" t="n">
        <x:f>ROUND(S31*CHOOSE(VALUE(RIGHT(K31,1)),0.5,0.7,0.85,1),0)</x:f>
        <x:v>59</x:v>
      </x:c>
      <x:c r="U31" s="35" t="str">
        <x:v>https://dataclouds.cninfo.com.cn/shgonggao/hsomarket/2026/20260429/6adcaca9c5534d379766de8c85cd385d.PDF</x:v>
      </x:c>
    </x:row>
    <x:row r="32" ht="44" customHeight="1">
      <x:c r="A32" s="35" t="str"/>
      <x:c r="B32" s="35" t="str"/>
      <x:c r="C32" s="35" t="str">
        <x:v>成都智明达电子股份有限公司</x:v>
      </x:c>
      <x:c r="D32" s="35" t="str">
        <x:v>Chengdu Zhimingda Electronics Co. Ltd.</x:v>
      </x:c>
      <x:c r="E32" s="35" t="str">
        <x:v>rugged_embedded_compute_UAV_flight_and_CUAS</x:v>
      </x:c>
      <x:c r="F32" s="35" t="str">
        <x:v>bounded_supplier_assessment</x:v>
      </x:c>
      <x:c r="G32" s="35" t="str">
        <x:v>counter_UAS_integrator</x:v>
      </x:c>
      <x:c r="H32" s="36" t="n">
        <x:v>3</x:v>
      </x:c>
      <x:c r="I32" s="36" t="n">
        <x:v>4</x:v>
      </x:c>
      <x:c r="J32" s="36" t="n">
        <x:v>2</x:v>
      </x:c>
      <x:c r="K32" s="36" t="str">
        <x:v>E3</x:v>
      </x:c>
      <x:c r="L32" s="36" t="str">
        <x:v>U2</x:v>
      </x:c>
      <x:c r="M32" s="36" t="n">
        <x:v>2</x:v>
      </x:c>
      <x:c r="N32" s="36" t="n">
        <x:v>69</x:v>
      </x:c>
      <x:c r="O32" s="36" t="n">
        <x:v>59</x:v>
      </x:c>
      <x:c r="P32" s="36" t="n">
        <x:v>1</x:v>
      </x:c>
      <x:c r="Q32" s="36" t="str"/>
      <x:c r="R32" s="36" t="str">
        <x:v>Not assessed: no named limited-source or requalification evidence.</x:v>
      </x:c>
      <x:c r="S32" s="36" t="n">
        <x:f>ROUND(25*('Scoring Method'!$B$5*H32+'Scoring Method'!$B$6*M32+'Scoring Method'!$B$7*J32+'Scoring Method'!$B$8*I32),0)</x:f>
        <x:v>69</x:v>
      </x:c>
      <x:c r="T32" s="36" t="n">
        <x:f>ROUND(S32*CHOOSE(VALUE(RIGHT(K32,1)),0.5,0.7,0.85,1),0)</x:f>
        <x:v>59</x:v>
      </x:c>
      <x:c r="U32" s="35" t="str">
        <x:v>https://static.cninfo.com.cn/finalpage/2026-03-26/1225031432.PDF</x:v>
      </x:c>
    </x:row>
    <x:row r="33" ht="44" customHeight="1">
      <x:c r="A33" s="35" t="str"/>
      <x:c r="B33" s="35" t="str"/>
      <x:c r="C33" s="35" t="str">
        <x:v>深圳市科思科技股份有限公司</x:v>
      </x:c>
      <x:c r="D33" s="35" t="str">
        <x:v>Shenzhen Consys Science and Technology Co. Ltd.</x:v>
      </x:c>
      <x:c r="E33" s="35" t="str">
        <x:v>UAV_swarm_mesh_and_mission_computing</x:v>
      </x:c>
      <x:c r="F33" s="35" t="str">
        <x:v>bounded_supplier_assessment</x:v>
      </x:c>
      <x:c r="G33" s="35" t="str">
        <x:v>unmanned_systems_enabler</x:v>
      </x:c>
      <x:c r="H33" s="36" t="n">
        <x:v>3</x:v>
      </x:c>
      <x:c r="I33" s="36" t="n">
        <x:v>4</x:v>
      </x:c>
      <x:c r="J33" s="36" t="n">
        <x:v>2</x:v>
      </x:c>
      <x:c r="K33" s="36" t="str">
        <x:v>E3</x:v>
      </x:c>
      <x:c r="L33" s="36" t="str">
        <x:v>U2</x:v>
      </x:c>
      <x:c r="M33" s="36" t="n">
        <x:v>2</x:v>
      </x:c>
      <x:c r="N33" s="36" t="n">
        <x:v>69</x:v>
      </x:c>
      <x:c r="O33" s="36" t="n">
        <x:v>59</x:v>
      </x:c>
      <x:c r="P33" s="36" t="n">
        <x:v>1</x:v>
      </x:c>
      <x:c r="Q33" s="36" t="str"/>
      <x:c r="R33" s="36" t="str">
        <x:v>Not assessed: no named limited-source or requalification evidence.</x:v>
      </x:c>
      <x:c r="S33" s="36" t="n">
        <x:f>ROUND(25*('Scoring Method'!$B$5*H33+'Scoring Method'!$B$6*M33+'Scoring Method'!$B$7*J33+'Scoring Method'!$B$8*I33),0)</x:f>
        <x:v>69</x:v>
      </x:c>
      <x:c r="T33" s="36" t="n">
        <x:f>ROUND(S33*CHOOSE(VALUE(RIGHT(K33,1)),0.5,0.7,0.85,1),0)</x:f>
        <x:v>59</x:v>
      </x:c>
      <x:c r="U33" s="35" t="str">
        <x:v>https://static.cninfo.com.cn/finalpage/2025-04-25/1223284788.PDF</x:v>
      </x:c>
    </x:row>
    <x:row r="34" ht="44" customHeight="1">
      <x:c r="A34" s="35" t="str"/>
      <x:c r="B34" s="35" t="str"/>
      <x:c r="C34" s="35" t="str">
        <x:v>湖北久之洋红外系统股份有限公司</x:v>
      </x:c>
      <x:c r="D34" s="35" t="str">
        <x:v>Hubei Jiuzhiyang Infrared System Co. Ltd.</x:v>
      </x:c>
      <x:c r="E34" s="35" t="str">
        <x:v>EO_IR_lasers_optics_and_star_trackers</x:v>
      </x:c>
      <x:c r="F34" s="35" t="str">
        <x:v>bounded_supplier_assessment</x:v>
      </x:c>
      <x:c r="G34" s="35" t="str">
        <x:v>component_or_subsystem_supplier</x:v>
      </x:c>
      <x:c r="H34" s="36" t="n">
        <x:v>3</x:v>
      </x:c>
      <x:c r="I34" s="36" t="n">
        <x:v>4</x:v>
      </x:c>
      <x:c r="J34" s="36" t="n">
        <x:v>2</x:v>
      </x:c>
      <x:c r="K34" s="36" t="str">
        <x:v>E3</x:v>
      </x:c>
      <x:c r="L34" s="36" t="str">
        <x:v>U2</x:v>
      </x:c>
      <x:c r="M34" s="36" t="n">
        <x:v>2</x:v>
      </x:c>
      <x:c r="N34" s="36" t="n">
        <x:v>69</x:v>
      </x:c>
      <x:c r="O34" s="36" t="n">
        <x:v>59</x:v>
      </x:c>
      <x:c r="P34" s="36" t="n">
        <x:v>1</x:v>
      </x:c>
      <x:c r="Q34" s="36" t="str"/>
      <x:c r="R34" s="36" t="str">
        <x:v>Not assessed: no named limited-source or requalification evidence.</x:v>
      </x:c>
      <x:c r="S34" s="36" t="n">
        <x:f>ROUND(25*('Scoring Method'!$B$5*H34+'Scoring Method'!$B$6*M34+'Scoring Method'!$B$7*J34+'Scoring Method'!$B$8*I34),0)</x:f>
        <x:v>69</x:v>
      </x:c>
      <x:c r="T34" s="36" t="n">
        <x:f>ROUND(S34*CHOOSE(VALUE(RIGHT(K34,1)),0.5,0.7,0.85,1),0)</x:f>
        <x:v>59</x:v>
      </x:c>
      <x:c r="U34" s="35" t="str">
        <x:v>https://static.cninfo.com.cn/finalpage/2026-03-27/1225037823.PDF</x:v>
      </x:c>
    </x:row>
    <x:row r="35" ht="44" customHeight="1">
      <x:c r="A35" s="35" t="str"/>
      <x:c r="B35" s="35" t="str"/>
      <x:c r="C35" s="35" t="str">
        <x:v>国科天成科技股份有限公司</x:v>
      </x:c>
      <x:c r="D35" s="35" t="str">
        <x:v>Guoke Tiancheng Technology Co. Ltd.</x:v>
      </x:c>
      <x:c r="E35" s="35" t="str">
        <x:v>cooled_and_uncooled_IR_detectors</x:v>
      </x:c>
      <x:c r="F35" s="35" t="str">
        <x:v>bounded_supplier_assessment</x:v>
      </x:c>
      <x:c r="G35" s="35" t="str">
        <x:v>component_or_subsystem_supplier</x:v>
      </x:c>
      <x:c r="H35" s="36" t="n">
        <x:v>3</x:v>
      </x:c>
      <x:c r="I35" s="36" t="n">
        <x:v>4</x:v>
      </x:c>
      <x:c r="J35" s="36" t="n">
        <x:v>2</x:v>
      </x:c>
      <x:c r="K35" s="36" t="str">
        <x:v>E2</x:v>
      </x:c>
      <x:c r="L35" s="36" t="str">
        <x:v>U4</x:v>
      </x:c>
      <x:c r="M35" s="36" t="n">
        <x:v>4</x:v>
      </x:c>
      <x:c r="N35" s="36" t="n">
        <x:v>79</x:v>
      </x:c>
      <x:c r="O35" s="36" t="n">
        <x:v>55</x:v>
      </x:c>
      <x:c r="P35" s="36" t="n">
        <x:v>1</x:v>
      </x:c>
      <x:c r="Q35" s="36" t="str"/>
      <x:c r="R35" s="36" t="str">
        <x:v>Not assessed: no named limited-source or requalification evidence.</x:v>
      </x:c>
      <x:c r="S35" s="36" t="n">
        <x:f>ROUND(25*('Scoring Method'!$B$5*H35+'Scoring Method'!$B$6*M35+'Scoring Method'!$B$7*J35+'Scoring Method'!$B$8*I35),0)</x:f>
        <x:v>79</x:v>
      </x:c>
      <x:c r="T35" s="36" t="n">
        <x:f>ROUND(S35*CHOOSE(VALUE(RIGHT(K35,1)),0.5,0.7,0.85,1),0)</x:f>
        <x:v>55</x:v>
      </x:c>
      <x:c r="U35" s="35" t="str">
        <x:v>https://static.cninfo.com.cn/finalpage/2025-05-13/1223535717.PDF</x:v>
      </x:c>
    </x:row>
    <x:row r="36" ht="44" customHeight="1">
      <x:c r="A36" s="35" t="str"/>
      <x:c r="B36" s="35" t="str"/>
      <x:c r="C36" s="35" t="str">
        <x:v>长沙景嘉微电子股份有限公司</x:v>
      </x:c>
      <x:c r="D36" s="35" t="str">
        <x:v>Changsha Jingjia Microelectronics Co. Ltd.</x:v>
      </x:c>
      <x:c r="E36" s="35" t="str">
        <x:v>high_reliability_GPU_and_radar_signal_processing</x:v>
      </x:c>
      <x:c r="F36" s="35" t="str">
        <x:v>bounded_supplier_assessment</x:v>
      </x:c>
      <x:c r="G36" s="35" t="str">
        <x:v>production_enabler</x:v>
      </x:c>
      <x:c r="H36" s="36" t="n">
        <x:v>3</x:v>
      </x:c>
      <x:c r="I36" s="36" t="n">
        <x:v>4</x:v>
      </x:c>
      <x:c r="J36" s="36" t="n">
        <x:v>2</x:v>
      </x:c>
      <x:c r="K36" s="36" t="str">
        <x:v>E2</x:v>
      </x:c>
      <x:c r="L36" s="36" t="str">
        <x:v>U4</x:v>
      </x:c>
      <x:c r="M36" s="36" t="n">
        <x:v>4</x:v>
      </x:c>
      <x:c r="N36" s="36" t="n">
        <x:v>79</x:v>
      </x:c>
      <x:c r="O36" s="36" t="n">
        <x:v>55</x:v>
      </x:c>
      <x:c r="P36" s="36" t="n">
        <x:v>1</x:v>
      </x:c>
      <x:c r="Q36" s="36" t="str"/>
      <x:c r="R36" s="36" t="str">
        <x:v>Not assessed: no named limited-source or requalification evidence.</x:v>
      </x:c>
      <x:c r="S36" s="36" t="n">
        <x:f>ROUND(25*('Scoring Method'!$B$5*H36+'Scoring Method'!$B$6*M36+'Scoring Method'!$B$7*J36+'Scoring Method'!$B$8*I36),0)</x:f>
        <x:v>79</x:v>
      </x:c>
      <x:c r="T36" s="36" t="n">
        <x:f>ROUND(S36*CHOOSE(VALUE(RIGHT(K36,1)),0.5,0.7,0.85,1),0)</x:f>
        <x:v>55</x:v>
      </x:c>
      <x:c r="U36" s="35" t="str">
        <x:v>https://static.cninfo.com.cn/finalpage/2025-04-24/1223239399.PDF</x:v>
      </x:c>
    </x:row>
    <x:row r="37" ht="44" customHeight="1">
      <x:c r="A37" s="35" t="str"/>
      <x:c r="B37" s="35" t="str"/>
      <x:c r="C37" s="35" t="str">
        <x:v>中电科蓝天科技股份有限公司</x:v>
      </x:c>
      <x:c r="D37" s="35" t="str">
        <x:v>CETC Blue Sky Technology Co. Ltd.</x:v>
      </x:c>
      <x:c r="E37" s="35" t="str">
        <x:v>special_batteries_BMS_and_space_power</x:v>
      </x:c>
      <x:c r="F37" s="35" t="str">
        <x:v>bounded_supplier_assessment</x:v>
      </x:c>
      <x:c r="G37" s="35" t="str">
        <x:v>component_or_subsystem_supplier</x:v>
      </x:c>
      <x:c r="H37" s="36" t="n">
        <x:v>3</x:v>
      </x:c>
      <x:c r="I37" s="36" t="n">
        <x:v>3</x:v>
      </x:c>
      <x:c r="J37" s="36" t="n">
        <x:v>2</x:v>
      </x:c>
      <x:c r="K37" s="36" t="str">
        <x:v>E3</x:v>
      </x:c>
      <x:c r="L37" s="36" t="str">
        <x:v>U2</x:v>
      </x:c>
      <x:c r="M37" s="36" t="n">
        <x:v>2</x:v>
      </x:c>
      <x:c r="N37" s="36" t="n">
        <x:v>65</x:v>
      </x:c>
      <x:c r="O37" s="36" t="n">
        <x:v>55</x:v>
      </x:c>
      <x:c r="P37" s="36" t="n">
        <x:v>1</x:v>
      </x:c>
      <x:c r="Q37" s="36" t="str"/>
      <x:c r="R37" s="36" t="str">
        <x:v>Not assessed: no named limited-source or requalification evidence.</x:v>
      </x:c>
      <x:c r="S37" s="36" t="n">
        <x:f>ROUND(25*('Scoring Method'!$B$5*H37+'Scoring Method'!$B$6*M37+'Scoring Method'!$B$7*J37+'Scoring Method'!$B$8*I37),0)</x:f>
        <x:v>65</x:v>
      </x:c>
      <x:c r="T37" s="36" t="n">
        <x:f>ROUND(S37*CHOOSE(VALUE(RIGHT(K37,1)),0.5,0.7,0.85,1),0)</x:f>
        <x:v>55</x:v>
      </x:c>
      <x:c r="U37" s="35" t="str">
        <x:v>https://static.cninfo.com.cn/finalpage/2026-04-23/1225153647.PDF</x:v>
      </x:c>
    </x:row>
    <x:row r="38" ht="44" customHeight="1">
      <x:c r="A38" s="35" t="str"/>
      <x:c r="B38" s="35" t="str"/>
      <x:c r="C38" s="35" t="str">
        <x:v>上海瀚讯信息技术股份有限公司</x:v>
      </x:c>
      <x:c r="D38" s="35" t="str">
        <x:v>Shanghai Hanxun Information Technology Co. Ltd.</x:v>
      </x:c>
      <x:c r="E38" s="35" t="str">
        <x:v>private_4G_5G_self_organizing_anti_jam_comms</x:v>
      </x:c>
      <x:c r="F38" s="35" t="str">
        <x:v>bounded_supplier_assessment</x:v>
      </x:c>
      <x:c r="G38" s="35" t="str">
        <x:v>component_or_subsystem_supplier</x:v>
      </x:c>
      <x:c r="H38" s="36" t="n">
        <x:v>3</x:v>
      </x:c>
      <x:c r="I38" s="36" t="n">
        <x:v>3</x:v>
      </x:c>
      <x:c r="J38" s="36" t="n">
        <x:v>3</x:v>
      </x:c>
      <x:c r="K38" s="36" t="str">
        <x:v>E2</x:v>
      </x:c>
      <x:c r="L38" s="36" t="str">
        <x:v>U3</x:v>
      </x:c>
      <x:c r="M38" s="36" t="n">
        <x:v>3</x:v>
      </x:c>
      <x:c r="N38" s="36" t="n">
        <x:v>75</x:v>
      </x:c>
      <x:c r="O38" s="36" t="n">
        <x:v>52</x:v>
      </x:c>
      <x:c r="P38" s="36" t="n">
        <x:v>1</x:v>
      </x:c>
      <x:c r="Q38" s="36" t="str"/>
      <x:c r="R38" s="36" t="str">
        <x:v>Not assessed: no named limited-source or requalification evidence.</x:v>
      </x:c>
      <x:c r="S38" s="36" t="n">
        <x:f>ROUND(25*('Scoring Method'!$B$5*H38+'Scoring Method'!$B$6*M38+'Scoring Method'!$B$7*J38+'Scoring Method'!$B$8*I38),0)</x:f>
        <x:v>75</x:v>
      </x:c>
      <x:c r="T38" s="36" t="n">
        <x:f>ROUND(S38*CHOOSE(VALUE(RIGHT(K38,1)),0.5,0.7,0.85,1),0)</x:f>
        <x:v>53</x:v>
      </x:c>
      <x:c r="U38" s="35" t="str">
        <x:v>https://static.cninfo.com.cn/finalpage/2025-04-29/1223369122.PDF</x:v>
      </x:c>
    </x:row>
    <x:row r="39" ht="44" customHeight="1">
      <x:c r="A39" s="35" t="str"/>
      <x:c r="B39" s="35" t="str"/>
      <x:c r="C39" s="35" t="str">
        <x:v>长春奥普光电技术股份有限公司</x:v>
      </x:c>
      <x:c r="D39" s="35" t="str">
        <x:v>Changchun UP Optotech Co. Ltd.</x:v>
      </x:c>
      <x:c r="E39" s="35" t="str">
        <x:v>low_light_EO_tracking_and_aiming</x:v>
      </x:c>
      <x:c r="F39" s="35" t="str">
        <x:v>bounded_supplier_assessment</x:v>
      </x:c>
      <x:c r="G39" s="35" t="str">
        <x:v>component_or_subsystem_supplier</x:v>
      </x:c>
      <x:c r="H39" s="36" t="n">
        <x:v>3</x:v>
      </x:c>
      <x:c r="I39" s="36" t="n">
        <x:v>3</x:v>
      </x:c>
      <x:c r="J39" s="36" t="n">
        <x:v>2</x:v>
      </x:c>
      <x:c r="K39" s="36" t="str">
        <x:v>E2</x:v>
      </x:c>
      <x:c r="L39" s="36" t="str">
        <x:v>U3</x:v>
      </x:c>
      <x:c r="M39" s="36" t="n">
        <x:v>3</x:v>
      </x:c>
      <x:c r="N39" s="36" t="n">
        <x:v>70</x:v>
      </x:c>
      <x:c r="O39" s="36" t="n">
        <x:v>49</x:v>
      </x:c>
      <x:c r="P39" s="36" t="n">
        <x:v>1</x:v>
      </x:c>
      <x:c r="Q39" s="36" t="str"/>
      <x:c r="R39" s="36" t="str">
        <x:v>Not assessed: no named limited-source or requalification evidence.</x:v>
      </x:c>
      <x:c r="S39" s="36" t="n">
        <x:f>ROUND(25*('Scoring Method'!$B$5*H39+'Scoring Method'!$B$6*M39+'Scoring Method'!$B$7*J39+'Scoring Method'!$B$8*I39),0)</x:f>
        <x:v>70</x:v>
      </x:c>
      <x:c r="T39" s="36" t="n">
        <x:f>ROUND(S39*CHOOSE(VALUE(RIGHT(K39,1)),0.5,0.7,0.85,1),0)</x:f>
        <x:v>49</x:v>
      </x:c>
      <x:c r="U39" s="35" t="str">
        <x:v>https://static.cninfo.com.cn/finalpage/2025-04-22/1223192767.PDF</x:v>
      </x:c>
    </x:row>
    <x:row r="40" ht="44" customHeight="1">
      <x:c r="A40" s="35" t="str"/>
      <x:c r="B40" s="35" t="str"/>
      <x:c r="C40" s="35" t="str">
        <x:v>北京新雷能科技股份有限公司</x:v>
      </x:c>
      <x:c r="D40" s="35" t="str">
        <x:v>Beijing Xinleineng Technology Co. Ltd.</x:v>
      </x:c>
      <x:c r="E40" s="35" t="str">
        <x:v>rad_hard_power_motor_drive_and_UAV_motors</x:v>
      </x:c>
      <x:c r="F40" s="35" t="str">
        <x:v>bounded_supplier_assessment</x:v>
      </x:c>
      <x:c r="G40" s="35" t="str">
        <x:v>unmanned_systems_enabler</x:v>
      </x:c>
      <x:c r="H40" s="36" t="n">
        <x:v>3</x:v>
      </x:c>
      <x:c r="I40" s="36" t="n">
        <x:v>4</x:v>
      </x:c>
      <x:c r="J40" s="36" t="n">
        <x:v>2</x:v>
      </x:c>
      <x:c r="K40" s="36" t="str">
        <x:v>E2</x:v>
      </x:c>
      <x:c r="L40" s="36" t="str">
        <x:v>U2</x:v>
      </x:c>
      <x:c r="M40" s="36" t="n">
        <x:v>2</x:v>
      </x:c>
      <x:c r="N40" s="36" t="n">
        <x:v>69</x:v>
      </x:c>
      <x:c r="O40" s="36" t="n">
        <x:v>48</x:v>
      </x:c>
      <x:c r="P40" s="36" t="n">
        <x:v>1</x:v>
      </x:c>
      <x:c r="Q40" s="36" t="str"/>
      <x:c r="R40" s="36" t="str">
        <x:v>Not assessed: no named limited-source or requalification evidence.</x:v>
      </x:c>
      <x:c r="S40" s="36" t="n">
        <x:f>ROUND(25*('Scoring Method'!$B$5*H40+'Scoring Method'!$B$6*M40+'Scoring Method'!$B$7*J40+'Scoring Method'!$B$8*I40),0)</x:f>
        <x:v>69</x:v>
      </x:c>
      <x:c r="T40" s="36" t="n">
        <x:f>ROUND(S40*CHOOSE(VALUE(RIGHT(K40,1)),0.5,0.7,0.85,1),0)</x:f>
        <x:v>48</x:v>
      </x:c>
      <x:c r="U40" s="35" t="str">
        <x:v>https://static.cninfo.com.cn/finalpage/2026-04-21/1225130175.PDF</x:v>
      </x:c>
    </x:row>
    <x:row r="41" ht="44" customHeight="1">
      <x:c r="A41" s="35" t="str"/>
      <x:c r="B41" s="35" t="str"/>
      <x:c r="C41" s="35" t="str">
        <x:v>西安天和防务技术股份有限公司</x:v>
      </x:c>
      <x:c r="D41" s="35" t="str">
        <x:v>Xi'an Tianhe Defense Technology Co. Ltd.</x:v>
      </x:c>
      <x:c r="E41" s="35" t="str">
        <x:v>RF_ferrites_and_circulators</x:v>
      </x:c>
      <x:c r="F41" s="35" t="str">
        <x:v>bounded_supplier_assessment</x:v>
      </x:c>
      <x:c r="G41" s="35" t="str">
        <x:v>component_or_subsystem_supplier</x:v>
      </x:c>
      <x:c r="H41" s="36" t="n">
        <x:v>2</x:v>
      </x:c>
      <x:c r="I41" s="36" t="n">
        <x:v>3</x:v>
      </x:c>
      <x:c r="J41" s="36" t="n">
        <x:v>2</x:v>
      </x:c>
      <x:c r="K41" s="36" t="str">
        <x:v>E2</x:v>
      </x:c>
      <x:c r="L41" s="36" t="str">
        <x:v>U4</x:v>
      </x:c>
      <x:c r="M41" s="36" t="n">
        <x:v>4</x:v>
      </x:c>
      <x:c r="N41" s="36" t="n">
        <x:v>64</x:v>
      </x:c>
      <x:c r="O41" s="36" t="n">
        <x:v>45</x:v>
      </x:c>
      <x:c r="P41" s="36" t="n">
        <x:v>1</x:v>
      </x:c>
      <x:c r="Q41" s="36" t="str"/>
      <x:c r="R41" s="36" t="str">
        <x:v>Not assessed: no named limited-source or requalification evidence.</x:v>
      </x:c>
      <x:c r="S41" s="36" t="n">
        <x:f>ROUND(25*('Scoring Method'!$B$5*H41+'Scoring Method'!$B$6*M41+'Scoring Method'!$B$7*J41+'Scoring Method'!$B$8*I41),0)</x:f>
        <x:v>64</x:v>
      </x:c>
      <x:c r="T41" s="36" t="n">
        <x:f>ROUND(S41*CHOOSE(VALUE(RIGHT(K41,1)),0.5,0.7,0.85,1),0)</x:f>
        <x:v>45</x:v>
      </x:c>
      <x:c r="U41" s="35" t="str">
        <x:v>https://static.cninfo.com.cn/finalpage/2025-04-25/1223271956.PDF</x:v>
      </x:c>
    </x:row>
    <x:row r="42" ht="44" customHeight="1">
      <x:c r="A42" s="35" t="str"/>
      <x:c r="B42" s="35" t="str"/>
      <x:c r="C42" s="35" t="str">
        <x:v>湖南超能机器人技术有限公司</x:v>
      </x:c>
      <x:c r="D42" s="35" t="str">
        <x:v>Hunan Chaoneng Robot Technology Co. Ltd.</x:v>
      </x:c>
      <x:c r="E42" s="35" t="str">
        <x:v>unmanned_platforms_swarming_and_mission_integration</x:v>
      </x:c>
      <x:c r="F42" s="35" t="str">
        <x:v>provisional_watchlist</x:v>
      </x:c>
      <x:c r="G42" s="35" t="str">
        <x:v>unmanned_systems_enabler</x:v>
      </x:c>
      <x:c r="H42" s="36" t="n">
        <x:v>2</x:v>
      </x:c>
      <x:c r="I42" s="36" t="n">
        <x:v>3</x:v>
      </x:c>
      <x:c r="J42" s="36" t="n">
        <x:v>1</x:v>
      </x:c>
      <x:c r="K42" s="36" t="str">
        <x:v>E3</x:v>
      </x:c>
      <x:c r="L42" s="36" t="str">
        <x:v>U2</x:v>
      </x:c>
      <x:c r="M42" s="36" t="n">
        <x:v>2</x:v>
      </x:c>
      <x:c r="N42" s="36" t="n">
        <x:v>49</x:v>
      </x:c>
      <x:c r="O42" s="36" t="n">
        <x:v>42</x:v>
      </x:c>
      <x:c r="P42" s="36" t="n">
        <x:v>1</x:v>
      </x:c>
      <x:c r="Q42" s="36" t="str"/>
      <x:c r="R42" s="36" t="str">
        <x:v>Not assessed: no named limited-source or requalification evidence.</x:v>
      </x:c>
      <x:c r="S42" s="36" t="n">
        <x:f>ROUND(25*('Scoring Method'!$B$5*H42+'Scoring Method'!$B$6*M42+'Scoring Method'!$B$7*J42+'Scoring Method'!$B$8*I42),0)</x:f>
        <x:v>49</x:v>
      </x:c>
      <x:c r="T42" s="36" t="n">
        <x:f>ROUND(S42*CHOOSE(VALUE(RIGHT(K42,1)),0.5,0.7,0.85,1),0)</x:f>
        <x:v>42</x:v>
      </x:c>
      <x:c r="U42" s="35" t="str">
        <x:v>https://www.hunan.gov.cn/hnszf/hnyw/sy/hnyw1/202608/t20260831_34052912.html</x:v>
      </x:c>
    </x:row>
    <x:row r="43" ht="44" customHeight="1">
      <x:c r="A43" s="35" t="str"/>
      <x:c r="B43" s="35" t="str"/>
      <x:c r="C43" s="35" t="str">
        <x:v>杭州景业智能科技股份有限公司</x:v>
      </x:c>
      <x:c r="D43" s="35" t="str">
        <x:v>Hangzhou Jingye Intelligent Technology Co. Ltd.</x:v>
      </x:c>
      <x:c r="E43" s="35" t="str">
        <x:v>special_robots_and_quadruped_support</x:v>
      </x:c>
      <x:c r="F43" s="35" t="str">
        <x:v>bounded_supplier_assessment</x:v>
      </x:c>
      <x:c r="G43" s="35" t="str">
        <x:v>production_enabler</x:v>
      </x:c>
      <x:c r="H43" s="36" t="n">
        <x:v>2</x:v>
      </x:c>
      <x:c r="I43" s="36" t="n">
        <x:v>4</x:v>
      </x:c>
      <x:c r="J43" s="36" t="n">
        <x:v>2</x:v>
      </x:c>
      <x:c r="K43" s="36" t="str">
        <x:v>E2</x:v>
      </x:c>
      <x:c r="L43" s="36" t="str">
        <x:v>U2</x:v>
      </x:c>
      <x:c r="M43" s="36" t="n">
        <x:v>2</x:v>
      </x:c>
      <x:c r="N43" s="36" t="n">
        <x:v>58</x:v>
      </x:c>
      <x:c r="O43" s="36" t="n">
        <x:v>41</x:v>
      </x:c>
      <x:c r="P43" s="36" t="n">
        <x:v>1</x:v>
      </x:c>
      <x:c r="Q43" s="36" t="str"/>
      <x:c r="R43" s="36" t="str">
        <x:v>Not assessed: no named limited-source or requalification evidence.</x:v>
      </x:c>
      <x:c r="S43" s="36" t="n">
        <x:f>ROUND(25*('Scoring Method'!$B$5*H43+'Scoring Method'!$B$6*M43+'Scoring Method'!$B$7*J43+'Scoring Method'!$B$8*I43),0)</x:f>
        <x:v>58</x:v>
      </x:c>
      <x:c r="T43" s="36" t="n">
        <x:f>ROUND(S43*CHOOSE(VALUE(RIGHT(K43,1)),0.5,0.7,0.85,1),0)</x:f>
        <x:v>41</x:v>
      </x:c>
      <x:c r="U43" s="35" t="str">
        <x:v>https://static.cninfo.com.cn/finalpage/2025-08-28/1224593800.PDF</x:v>
      </x:c>
    </x:row>
    <x:row r="44" ht="44" customHeight="1">
      <x:c r="A44" s="35" t="str"/>
      <x:c r="B44" s="35" t="str"/>
      <x:c r="C44" s="35" t="str">
        <x:v>西安爱科赛博电气股份有限公司</x:v>
      </x:c>
      <x:c r="D44" s="35" t="str">
        <x:v>Xi'an Aike Cyber Electric Co. Ltd.</x:v>
      </x:c>
      <x:c r="E44" s="35" t="str">
        <x:v>aircraft_power_converters</x:v>
      </x:c>
      <x:c r="F44" s="35" t="str">
        <x:v>bounded_supplier_assessment</x:v>
      </x:c>
      <x:c r="G44" s="35" t="str">
        <x:v>component_or_subsystem_supplier</x:v>
      </x:c>
      <x:c r="H44" s="36" t="n">
        <x:v>2</x:v>
      </x:c>
      <x:c r="I44" s="36" t="n">
        <x:v>4</x:v>
      </x:c>
      <x:c r="J44" s="36" t="n">
        <x:v>2</x:v>
      </x:c>
      <x:c r="K44" s="36" t="str">
        <x:v>E2</x:v>
      </x:c>
      <x:c r="L44" s="36" t="str">
        <x:v>U2</x:v>
      </x:c>
      <x:c r="M44" s="36" t="n">
        <x:v>2</x:v>
      </x:c>
      <x:c r="N44" s="36" t="n">
        <x:v>58</x:v>
      </x:c>
      <x:c r="O44" s="36" t="n">
        <x:v>41</x:v>
      </x:c>
      <x:c r="P44" s="36" t="n">
        <x:v>1</x:v>
      </x:c>
      <x:c r="Q44" s="36" t="str"/>
      <x:c r="R44" s="36" t="str">
        <x:v>Not assessed: no named limited-source or requalification evidence.</x:v>
      </x:c>
      <x:c r="S44" s="36" t="n">
        <x:f>ROUND(25*('Scoring Method'!$B$5*H44+'Scoring Method'!$B$6*M44+'Scoring Method'!$B$7*J44+'Scoring Method'!$B$8*I44),0)</x:f>
        <x:v>58</x:v>
      </x:c>
      <x:c r="T44" s="36" t="n">
        <x:f>ROUND(S44*CHOOSE(VALUE(RIGHT(K44,1)),0.5,0.7,0.85,1),0)</x:f>
        <x:v>41</x:v>
      </x:c>
      <x:c r="U44" s="35" t="str">
        <x:v>https://static.cninfo.com.cn/finalpage/2026-04-22/1225138987.PDF</x:v>
      </x:c>
    </x:row>
    <x:row r="45" ht="44" customHeight="1">
      <x:c r="A45" s="35" t="str"/>
      <x:c r="B45" s="35" t="str"/>
      <x:c r="C45" s="35" t="str">
        <x:v>芯联集成电路制造股份有限公司</x:v>
      </x:c>
      <x:c r="D45" s="35" t="str">
        <x:v>SICC Co., Ltd.</x:v>
      </x:c>
      <x:c r="E45" s="35" t="str">
        <x:v>MEMS_IMU_lidar_driver_and_MCU_foundry_platform</x:v>
      </x:c>
      <x:c r="F45" s="35" t="str">
        <x:v>provisional_watchlist</x:v>
      </x:c>
      <x:c r="G45" s="35" t="str">
        <x:v>component_or_subsystem_supplier</x:v>
      </x:c>
      <x:c r="H45" s="36" t="n">
        <x:v>1</x:v>
      </x:c>
      <x:c r="I45" s="36" t="n">
        <x:v>3</x:v>
      </x:c>
      <x:c r="J45" s="36" t="n">
        <x:v>1</x:v>
      </x:c>
      <x:c r="K45" s="36" t="str">
        <x:v>E3</x:v>
      </x:c>
      <x:c r="L45" s="36" t="str">
        <x:v>U4</x:v>
      </x:c>
      <x:c r="M45" s="36" t="n">
        <x:v>4</x:v>
      </x:c>
      <x:c r="N45" s="36" t="n">
        <x:v>48</x:v>
      </x:c>
      <x:c r="O45" s="36" t="n">
        <x:v>41</x:v>
      </x:c>
      <x:c r="P45" s="36" t="n">
        <x:v>1</x:v>
      </x:c>
      <x:c r="Q45" s="36" t="str"/>
      <x:c r="R45" s="36" t="str">
        <x:v>Not assessed: no named limited-source or requalification evidence.</x:v>
      </x:c>
      <x:c r="S45" s="36" t="n">
        <x:f>ROUND(25*('Scoring Method'!$B$5*H45+'Scoring Method'!$B$6*M45+'Scoring Method'!$B$7*J45+'Scoring Method'!$B$8*I45),0)</x:f>
        <x:v>48</x:v>
      </x:c>
      <x:c r="T45" s="36" t="n">
        <x:f>ROUND(S45*CHOOSE(VALUE(RIGHT(K45,1)),0.5,0.7,0.85,1),0)</x:f>
        <x:v>41</x:v>
      </x:c>
      <x:c r="U45" s="35" t="str">
        <x:v>https://dataclouds.cninfo.com.cn/shgonggao/hsomarket/2026/20260420/a7d644d0f0dd41678d6544801932ceac.PDF</x:v>
      </x:c>
    </x:row>
    <x:row r="46" ht="44" customHeight="1">
      <x:c r="A46" s="35" t="str"/>
      <x:c r="B46" s="35" t="str"/>
      <x:c r="C46" s="35" t="str">
        <x:v>中科空网（郑州）安全技术有限公司</x:v>
      </x:c>
      <x:c r="D46" s="35" t="str">
        <x:v>Zhongke Kongwang Zhengzhou Security Technology Co. Ltd.</x:v>
      </x:c>
      <x:c r="E46" s="35" t="str">
        <x:v>counter_UAS_detection_EW_and_control</x:v>
      </x:c>
      <x:c r="F46" s="35" t="str">
        <x:v>provisional_watchlist</x:v>
      </x:c>
      <x:c r="G46" s="35" t="str">
        <x:v>counter_UAS_integrator</x:v>
      </x:c>
      <x:c r="H46" s="36" t="n">
        <x:v>2</x:v>
      </x:c>
      <x:c r="I46" s="36" t="n">
        <x:v>3</x:v>
      </x:c>
      <x:c r="J46" s="36" t="n">
        <x:v>1</x:v>
      </x:c>
      <x:c r="K46" s="36" t="str">
        <x:v>E2</x:v>
      </x:c>
      <x:c r="L46" s="36" t="str">
        <x:v>U2</x:v>
      </x:c>
      <x:c r="M46" s="36" t="n">
        <x:v>2</x:v>
      </x:c>
      <x:c r="N46" s="36" t="n">
        <x:v>49</x:v>
      </x:c>
      <x:c r="O46" s="36" t="n">
        <x:v>34</x:v>
      </x:c>
      <x:c r="P46" s="36" t="n">
        <x:v>1</x:v>
      </x:c>
      <x:c r="Q46" s="36" t="str"/>
      <x:c r="R46" s="36" t="str">
        <x:v>Not assessed: no named limited-source or requalification evidence.</x:v>
      </x:c>
      <x:c r="S46" s="36" t="n">
        <x:f>ROUND(25*('Scoring Method'!$B$5*H46+'Scoring Method'!$B$6*M46+'Scoring Method'!$B$7*J46+'Scoring Method'!$B$8*I46),0)</x:f>
        <x:v>49</x:v>
      </x:c>
      <x:c r="T46" s="36" t="n">
        <x:f>ROUND(S46*CHOOSE(VALUE(RIGHT(K46,1)),0.5,0.7,0.85,1),0)</x:f>
        <x:v>34</x:v>
      </x:c>
      <x:c r="U46" s="35" t="str">
        <x:v>https://news.21csp.com.cn/special/2024blh/202410/11425149.html</x:v>
      </x:c>
    </x:row>
    <x:row r="47" ht="44" customHeight="1">
      <x:c r="A47" s="35" t="str"/>
      <x:c r="B47" s="35" t="str"/>
      <x:c r="C47" s="35" t="str">
        <x:v>北京博宏科元信息科技有限公司</x:v>
      </x:c>
      <x:c r="D47" s="35" t="str">
        <x:v>Beijing Bohong Keyuan Information Technology Co. Ltd.</x:v>
      </x:c>
      <x:c r="E47" s="35" t="str">
        <x:v>counter_UAS_detection_EW_and_control</x:v>
      </x:c>
      <x:c r="F47" s="35" t="str">
        <x:v>provisional_watchlist</x:v>
      </x:c>
      <x:c r="G47" s="35" t="str">
        <x:v>counter_UAS_integrator</x:v>
      </x:c>
      <x:c r="H47" s="36" t="n">
        <x:v>2</x:v>
      </x:c>
      <x:c r="I47" s="36" t="n">
        <x:v>3</x:v>
      </x:c>
      <x:c r="J47" s="36" t="n">
        <x:v>1</x:v>
      </x:c>
      <x:c r="K47" s="36" t="str">
        <x:v>E2</x:v>
      </x:c>
      <x:c r="L47" s="36" t="str">
        <x:v>U2</x:v>
      </x:c>
      <x:c r="M47" s="36" t="n">
        <x:v>2</x:v>
      </x:c>
      <x:c r="N47" s="36" t="n">
        <x:v>49</x:v>
      </x:c>
      <x:c r="O47" s="36" t="n">
        <x:v>34</x:v>
      </x:c>
      <x:c r="P47" s="36" t="n">
        <x:v>2</x:v>
      </x:c>
      <x:c r="Q47" s="36" t="str"/>
      <x:c r="R47" s="36" t="str">
        <x:v>Not assessed: no named limited-source or requalification evidence.</x:v>
      </x:c>
      <x:c r="S47" s="36" t="n">
        <x:f>ROUND(25*('Scoring Method'!$B$5*H47+'Scoring Method'!$B$6*M47+'Scoring Method'!$B$7*J47+'Scoring Method'!$B$8*I47),0)</x:f>
        <x:v>49</x:v>
      </x:c>
      <x:c r="T47" s="36" t="n">
        <x:f>ROUND(S47*CHOOSE(VALUE(RIGHT(K47,1)),0.5,0.7,0.85,1),0)</x:f>
        <x:v>34</x:v>
      </x:c>
      <x:c r="U47" s="35" t="str">
        <x:v>https://news.21csp.com.cn/special/2024blh/202410/11425149.html | https://www.bhky.net.cn/</x:v>
      </x:c>
    </x:row>
    <x:row r="48" ht="44" customHeight="1">
      <x:c r="A48" s="35" t="str"/>
      <x:c r="B48" s="35" t="str"/>
      <x:c r="C48" s="35" t="str">
        <x:v>杭州星辰大海科技有限公司</x:v>
      </x:c>
      <x:c r="D48" s="35" t="str">
        <x:v>Hangzhou Xingchen Dahai Technology Co. Ltd.</x:v>
      </x:c>
      <x:c r="E48" s="35" t="str">
        <x:v>counter_UAS_detection_EW_and_control</x:v>
      </x:c>
      <x:c r="F48" s="35" t="str">
        <x:v>provisional_watchlist</x:v>
      </x:c>
      <x:c r="G48" s="35" t="str">
        <x:v>counter_UAS_integrator</x:v>
      </x:c>
      <x:c r="H48" s="36" t="n">
        <x:v>2</x:v>
      </x:c>
      <x:c r="I48" s="36" t="n">
        <x:v>3</x:v>
      </x:c>
      <x:c r="J48" s="36" t="n">
        <x:v>1</x:v>
      </x:c>
      <x:c r="K48" s="36" t="str">
        <x:v>E2</x:v>
      </x:c>
      <x:c r="L48" s="36" t="str">
        <x:v>U2</x:v>
      </x:c>
      <x:c r="M48" s="36" t="n">
        <x:v>2</x:v>
      </x:c>
      <x:c r="N48" s="36" t="n">
        <x:v>49</x:v>
      </x:c>
      <x:c r="O48" s="36" t="n">
        <x:v>34</x:v>
      </x:c>
      <x:c r="P48" s="36" t="n">
        <x:v>2</x:v>
      </x:c>
      <x:c r="Q48" s="36" t="str"/>
      <x:c r="R48" s="36" t="str">
        <x:v>Not assessed: no named limited-source or requalification evidence.</x:v>
      </x:c>
      <x:c r="S48" s="36" t="n">
        <x:f>ROUND(25*('Scoring Method'!$B$5*H48+'Scoring Method'!$B$6*M48+'Scoring Method'!$B$7*J48+'Scoring Method'!$B$8*I48),0)</x:f>
        <x:v>49</x:v>
      </x:c>
      <x:c r="T48" s="36" t="n">
        <x:f>ROUND(S48*CHOOSE(VALUE(RIGHT(K48,1)),0.5,0.7,0.85,1),0)</x:f>
        <x:v>34</x:v>
      </x:c>
      <x:c r="U48" s="35" t="str">
        <x:v>https://news.21csp.com.cn/special/2024blh/202410/11425149.html | https://www.career.zju.edu.cn/jyxt/sczp/zpztgl/ckZpgwList.zf?dwxxid=JG0000670</x:v>
      </x:c>
    </x:row>
    <x:row r="49" ht="44" customHeight="1">
      <x:c r="A49" s="35" t="str"/>
      <x:c r="B49" s="35" t="str"/>
      <x:c r="C49" s="35" t="str">
        <x:v>西安宇航者创新科技有限公司</x:v>
      </x:c>
      <x:c r="D49" s="35" t="str">
        <x:v>Xi'an Yuhangzhe Innovation Technology Co. Ltd.</x:v>
      </x:c>
      <x:c r="E49" s="35" t="str">
        <x:v>unmanned_platforms_swarming_and_mission_integration</x:v>
      </x:c>
      <x:c r="F49" s="35" t="str">
        <x:v>provisional_watchlist</x:v>
      </x:c>
      <x:c r="G49" s="35" t="str">
        <x:v>unmanned_systems_enabler</x:v>
      </x:c>
      <x:c r="H49" s="36" t="n">
        <x:v>2</x:v>
      </x:c>
      <x:c r="I49" s="36" t="n">
        <x:v>2</x:v>
      </x:c>
      <x:c r="J49" s="36" t="n">
        <x:v>1</x:v>
      </x:c>
      <x:c r="K49" s="36" t="str">
        <x:v>E3</x:v>
      </x:c>
      <x:c r="L49" s="36" t="str">
        <x:v>U1</x:v>
      </x:c>
      <x:c r="M49" s="36" t="n">
        <x:v>1</x:v>
      </x:c>
      <x:c r="N49" s="36" t="n">
        <x:v>40</x:v>
      </x:c>
      <x:c r="O49" s="36" t="n">
        <x:v>34</x:v>
      </x:c>
      <x:c r="P49" s="36" t="n">
        <x:v>2</x:v>
      </x:c>
      <x:c r="Q49" s="36" t="str"/>
      <x:c r="R49" s="36" t="str">
        <x:v>Not assessed: no named limited-source or requalification evidence.</x:v>
      </x:c>
      <x:c r="S49" s="36" t="n">
        <x:f>ROUND(25*('Scoring Method'!$B$5*H49+'Scoring Method'!$B$6*M49+'Scoring Method'!$B$7*J49+'Scoring Method'!$B$8*I49),0)</x:f>
        <x:v>40</x:v>
      </x:c>
      <x:c r="T49" s="36" t="n">
        <x:f>ROUND(S49*CHOOSE(VALUE(RIGHT(K49,1)),0.5,0.7,0.85,1),0)</x:f>
        <x:v>34</x:v>
      </x:c>
      <x:c r="U49" s="35" t="str">
        <x:v>https://www.ccgp-shaanxi.gov.cn/freecms/site/shaanxi/ggxx/info/2024/8a69c037932429a3019324ab328a32fe.html | https://www.plap.mil.cn/freecms/site/juncai/ggxx/info/2026/8a1d03e69cd1fb5c019cd6e59f9a252b.html</x:v>
      </x:c>
    </x:row>
    <x:row r="50" ht="44" customHeight="1">
      <x:c r="A50" s="35" t="str"/>
      <x:c r="B50" s="35" t="str"/>
      <x:c r="C50" s="35" t="str">
        <x:v>中科空网（郑州）安全技术有限公司</x:v>
      </x:c>
      <x:c r="D50" s="35" t="str">
        <x:v>Zhongke Kongwang Zhengzhou Security Technology Co. Ltd.</x:v>
      </x:c>
      <x:c r="E50" s="35" t="str">
        <x:v>unmanned_platforms_swarming_and_mission_integration</x:v>
      </x:c>
      <x:c r="F50" s="35" t="str">
        <x:v>provisional_watchlist</x:v>
      </x:c>
      <x:c r="G50" s="35" t="str">
        <x:v>unmanned_systems_enabler</x:v>
      </x:c>
      <x:c r="H50" s="36" t="n">
        <x:v>2</x:v>
      </x:c>
      <x:c r="I50" s="36" t="n">
        <x:v>3</x:v>
      </x:c>
      <x:c r="J50" s="36" t="n">
        <x:v>1</x:v>
      </x:c>
      <x:c r="K50" s="36" t="str">
        <x:v>E2</x:v>
      </x:c>
      <x:c r="L50" s="36" t="str">
        <x:v>U1</x:v>
      </x:c>
      <x:c r="M50" s="36" t="n">
        <x:v>1</x:v>
      </x:c>
      <x:c r="N50" s="36" t="n">
        <x:v>44</x:v>
      </x:c>
      <x:c r="O50" s="36" t="n">
        <x:v>31</x:v>
      </x:c>
      <x:c r="P50" s="36" t="n">
        <x:v>1</x:v>
      </x:c>
      <x:c r="Q50" s="36" t="str"/>
      <x:c r="R50" s="36" t="str">
        <x:v>Not assessed: no named limited-source or requalification evidence.</x:v>
      </x:c>
      <x:c r="S50" s="36" t="n">
        <x:f>ROUND(25*('Scoring Method'!$B$5*H50+'Scoring Method'!$B$6*M50+'Scoring Method'!$B$7*J50+'Scoring Method'!$B$8*I50),0)</x:f>
        <x:v>44</x:v>
      </x:c>
      <x:c r="T50" s="36" t="n">
        <x:f>ROUND(S50*CHOOSE(VALUE(RIGHT(K50,1)),0.5,0.7,0.85,1),0)</x:f>
        <x:v>31</x:v>
      </x:c>
      <x:c r="U50" s="35" t="str">
        <x:v>https://www.zkkwgs.com/</x:v>
      </x:c>
    </x:row>
    <x:row r="51" ht="44" customHeight="1">
      <x:c r="A51" s="35" t="str"/>
      <x:c r="B51" s="35" t="str"/>
      <x:c r="C51" s="35" t="str">
        <x:v>北京卓翼智能科技有限公司</x:v>
      </x:c>
      <x:c r="D51" s="35" t="str">
        <x:v>Beijing Zhuoyi Intelligent Technology Co. Ltd.</x:v>
      </x:c>
      <x:c r="E51" s="35" t="str">
        <x:v>unmanned_platforms_swarming_and_mission_integration</x:v>
      </x:c>
      <x:c r="F51" s="35" t="str">
        <x:v>provisional_watchlist</x:v>
      </x:c>
      <x:c r="G51" s="35" t="str">
        <x:v>unmanned_systems_enabler</x:v>
      </x:c>
      <x:c r="H51" s="36" t="n">
        <x:v>2</x:v>
      </x:c>
      <x:c r="I51" s="36" t="n">
        <x:v>3</x:v>
      </x:c>
      <x:c r="J51" s="36" t="n">
        <x:v>1</x:v>
      </x:c>
      <x:c r="K51" s="36" t="str">
        <x:v>E2</x:v>
      </x:c>
      <x:c r="L51" s="36" t="str">
        <x:v>U1</x:v>
      </x:c>
      <x:c r="M51" s="36" t="n">
        <x:v>1</x:v>
      </x:c>
      <x:c r="N51" s="36" t="n">
        <x:v>44</x:v>
      </x:c>
      <x:c r="O51" s="36" t="n">
        <x:v>31</x:v>
      </x:c>
      <x:c r="P51" s="36" t="n">
        <x:v>2</x:v>
      </x:c>
      <x:c r="Q51" s="36" t="str"/>
      <x:c r="R51" s="36" t="str">
        <x:v>Not assessed: no named limited-source or requalification evidence.</x:v>
      </x:c>
      <x:c r="S51" s="36" t="n">
        <x:f>ROUND(25*('Scoring Method'!$B$5*H51+'Scoring Method'!$B$6*M51+'Scoring Method'!$B$7*J51+'Scoring Method'!$B$8*I51),0)</x:f>
        <x:v>44</x:v>
      </x:c>
      <x:c r="T51" s="36" t="n">
        <x:f>ROUND(S51*CHOOSE(VALUE(RIGHT(K51,1)),0.5,0.7,0.85,1),0)</x:f>
        <x:v>31</x:v>
      </x:c>
      <x:c r="U51" s="35" t="str">
        <x:v>https://www.droneyee.com/ | https://csscbidding.com/jyxx/003002/003002003/20250919/d89aff16-b40c-46c5-a6b0-78b05a3e9c36.html</x:v>
      </x:c>
    </x:row>
    <x:row r="52" ht="44" customHeight="1">
      <x:c r="A52" s="35" t="str"/>
      <x:c r="B52" s="35" t="str"/>
      <x:c r="C52" s="35" t="str">
        <x:v>湖南超能机器人技术有限公司</x:v>
      </x:c>
      <x:c r="D52" s="35" t="str">
        <x:v>Hunan Chaoneng Robot Technology Co. Ltd.</x:v>
      </x:c>
      <x:c r="E52" s="35" t="str">
        <x:v>robotics_and_autonomy_integration</x:v>
      </x:c>
      <x:c r="F52" s="35" t="str">
        <x:v>provisional_watchlist</x:v>
      </x:c>
      <x:c r="G52" s="35" t="str">
        <x:v>production_enabler</x:v>
      </x:c>
      <x:c r="H52" s="36" t="n">
        <x:v>2</x:v>
      </x:c>
      <x:c r="I52" s="36" t="n">
        <x:v>3</x:v>
      </x:c>
      <x:c r="J52" s="36" t="n">
        <x:v>1</x:v>
      </x:c>
      <x:c r="K52" s="36" t="str">
        <x:v>E2</x:v>
      </x:c>
      <x:c r="L52" s="36" t="str">
        <x:v>U1</x:v>
      </x:c>
      <x:c r="M52" s="36" t="n">
        <x:v>1</x:v>
      </x:c>
      <x:c r="N52" s="36" t="n">
        <x:v>44</x:v>
      </x:c>
      <x:c r="O52" s="36" t="n">
        <x:v>31</x:v>
      </x:c>
      <x:c r="P52" s="36" t="n">
        <x:v>1</x:v>
      </x:c>
      <x:c r="Q52" s="36" t="str"/>
      <x:c r="R52" s="36" t="str">
        <x:v>Not assessed: no named limited-source or requalification evidence.</x:v>
      </x:c>
      <x:c r="S52" s="36" t="n">
        <x:f>ROUND(25*('Scoring Method'!$B$5*H52+'Scoring Method'!$B$6*M52+'Scoring Method'!$B$7*J52+'Scoring Method'!$B$8*I52),0)</x:f>
        <x:v>44</x:v>
      </x:c>
      <x:c r="T52" s="36" t="n">
        <x:f>ROUND(S52*CHOOSE(VALUE(RIGHT(K52,1)),0.5,0.7,0.85,1),0)</x:f>
        <x:v>31</x:v>
      </x:c>
      <x:c r="U52" s="35" t="str">
        <x:v>https://www.plap.mil.cn/freecms/site/juncai/ggxx/info/2026/8a1d02829e1f2e0a019e3f202afe5448.html</x:v>
      </x:c>
    </x:row>
    <x:row r="53" ht="44" customHeight="1">
      <x:c r="A53" s="35" t="str"/>
      <x:c r="B53" s="35" t="str"/>
      <x:c r="C53" s="35" t="str">
        <x:v>南京山峦安全技术有限公司</x:v>
      </x:c>
      <x:c r="D53" s="35" t="str">
        <x:v>Nanjing Shanluan Security Technology Co. Ltd.</x:v>
      </x:c>
      <x:c r="E53" s="35" t="str">
        <x:v>counter_UAS_detection_EW_and_control</x:v>
      </x:c>
      <x:c r="F53" s="35" t="str">
        <x:v>provisional_watchlist</x:v>
      </x:c>
      <x:c r="G53" s="35" t="str">
        <x:v>counter_UAS_integrator</x:v>
      </x:c>
      <x:c r="H53" s="36" t="n">
        <x:v>2</x:v>
      </x:c>
      <x:c r="I53" s="36" t="n">
        <x:v>2</x:v>
      </x:c>
      <x:c r="J53" s="36" t="n">
        <x:v>1</x:v>
      </x:c>
      <x:c r="K53" s="36" t="str">
        <x:v>E2</x:v>
      </x:c>
      <x:c r="L53" s="36" t="str">
        <x:v>U1</x:v>
      </x:c>
      <x:c r="M53" s="36" t="n">
        <x:v>1</x:v>
      </x:c>
      <x:c r="N53" s="36" t="n">
        <x:v>40</x:v>
      </x:c>
      <x:c r="O53" s="36" t="n">
        <x:v>28</x:v>
      </x:c>
      <x:c r="P53" s="36" t="n">
        <x:v>3</x:v>
      </x:c>
      <x:c r="Q53" s="36" t="str"/>
      <x:c r="R53" s="36" t="str">
        <x:v>Not assessed: no named limited-source or requalification evidence.</x:v>
      </x:c>
      <x:c r="S53" s="36" t="n">
        <x:f>ROUND(25*('Scoring Method'!$B$5*H53+'Scoring Method'!$B$6*M53+'Scoring Method'!$B$7*J53+'Scoring Method'!$B$8*I53),0)</x:f>
        <x:v>40</x:v>
      </x:c>
      <x:c r="T53" s="36" t="n">
        <x:f>ROUND(S53*CHOOSE(VALUE(RIGHT(K53,1)),0.5,0.7,0.85,1),0)</x:f>
        <x:v>28</x:v>
      </x:c>
      <x:c r="U53" s="35" t="str">
        <x:v>https://www.njslaq.com/tagdetail/1699655190063484928.html | https://www.plap.mil.cn/freecms/site/juncai/ggxx/info/2025/8a1d04b895320c5701964d64e62a7106.html | https://www.plap.mil.cn/freecms/site/juncai/ggxx/info/2024/8a1d01109163a9d001919d4348c336b8.html</x:v>
      </x:c>
    </x:row>
    <x:row r="54" ht="44" customHeight="1">
      <x:c r="A54" s="35" t="str"/>
      <x:c r="B54" s="35" t="str"/>
      <x:c r="C54" s="35" t="str">
        <x:v>四川金朝电子工程有限公司</x:v>
      </x:c>
      <x:c r="D54" s="35" t="str">
        <x:v>Sichuan Jinchao Electronic Engineering Co. Ltd.</x:v>
      </x:c>
      <x:c r="E54" s="35" t="str">
        <x:v>counter_UAS_detection_EW_and_control</x:v>
      </x:c>
      <x:c r="F54" s="35" t="str">
        <x:v>provisional_watchlist</x:v>
      </x:c>
      <x:c r="G54" s="35" t="str">
        <x:v>counter_UAS_integrator</x:v>
      </x:c>
      <x:c r="H54" s="36" t="n">
        <x:v>2</x:v>
      </x:c>
      <x:c r="I54" s="36" t="n">
        <x:v>2</x:v>
      </x:c>
      <x:c r="J54" s="36" t="n">
        <x:v>1</x:v>
      </x:c>
      <x:c r="K54" s="36" t="str">
        <x:v>E2</x:v>
      </x:c>
      <x:c r="L54" s="36" t="str">
        <x:v>U1</x:v>
      </x:c>
      <x:c r="M54" s="36" t="n">
        <x:v>1</x:v>
      </x:c>
      <x:c r="N54" s="36" t="n">
        <x:v>40</x:v>
      </x:c>
      <x:c r="O54" s="36" t="n">
        <x:v>28</x:v>
      </x:c>
      <x:c r="P54" s="36" t="n">
        <x:v>1</x:v>
      </x:c>
      <x:c r="Q54" s="36" t="str"/>
      <x:c r="R54" s="36" t="str">
        <x:v>Not assessed: no named limited-source or requalification evidence.</x:v>
      </x:c>
      <x:c r="S54" s="36" t="n">
        <x:f>ROUND(25*('Scoring Method'!$B$5*H54+'Scoring Method'!$B$6*M54+'Scoring Method'!$B$7*J54+'Scoring Method'!$B$8*I54),0)</x:f>
        <x:v>40</x:v>
      </x:c>
      <x:c r="T54" s="36" t="n">
        <x:f>ROUND(S54*CHOOSE(VALUE(RIGHT(K54,1)),0.5,0.7,0.85,1),0)</x:f>
        <x:v>28</x:v>
      </x:c>
      <x:c r="U54" s="35" t="str">
        <x:v>https://www.plap.mil.cn/freecms/site/juncai/ggxx/info/2026/8a1d002c9afc0109019c50c1650c0a41.html</x:v>
      </x:c>
    </x:row>
    <x:row r="55" ht="44" customHeight="1">
      <x:c r="A55" s="35" t="str"/>
      <x:c r="B55" s="35" t="str"/>
      <x:c r="C55" s="35" t="str">
        <x:v>山东中科长天科技有限公司</x:v>
      </x:c>
      <x:c r="D55" s="35" t="str">
        <x:v>Shandong Zhongke Changtian Technology Co. Ltd.</x:v>
      </x:c>
      <x:c r="E55" s="35" t="str">
        <x:v>unmanned_platforms_swarming_and_mission_integration</x:v>
      </x:c>
      <x:c r="F55" s="35" t="str">
        <x:v>provisional_watchlist</x:v>
      </x:c>
      <x:c r="G55" s="35" t="str">
        <x:v>unmanned_systems_enabler</x:v>
      </x:c>
      <x:c r="H55" s="36" t="n">
        <x:v>2</x:v>
      </x:c>
      <x:c r="I55" s="36" t="n">
        <x:v>2</x:v>
      </x:c>
      <x:c r="J55" s="36" t="n">
        <x:v>1</x:v>
      </x:c>
      <x:c r="K55" s="36" t="str">
        <x:v>E2</x:v>
      </x:c>
      <x:c r="L55" s="36" t="str">
        <x:v>U1</x:v>
      </x:c>
      <x:c r="M55" s="36" t="n">
        <x:v>1</x:v>
      </x:c>
      <x:c r="N55" s="36" t="n">
        <x:v>40</x:v>
      </x:c>
      <x:c r="O55" s="36" t="n">
        <x:v>28</x:v>
      </x:c>
      <x:c r="P55" s="36" t="n">
        <x:v>1</x:v>
      </x:c>
      <x:c r="Q55" s="36" t="str"/>
      <x:c r="R55" s="36" t="str">
        <x:v>Not assessed: no named limited-source or requalification evidence.</x:v>
      </x:c>
      <x:c r="S55" s="36" t="n">
        <x:f>ROUND(25*('Scoring Method'!$B$5*H55+'Scoring Method'!$B$6*M55+'Scoring Method'!$B$7*J55+'Scoring Method'!$B$8*I55),0)</x:f>
        <x:v>40</x:v>
      </x:c>
      <x:c r="T55" s="36" t="n">
        <x:f>ROUND(S55*CHOOSE(VALUE(RIGHT(K55,1)),0.5,0.7,0.85,1),0)</x:f>
        <x:v>28</x:v>
      </x:c>
      <x:c r="U55" s="35" t="str">
        <x:v>https://www.plap.mil.cn/freecms/site/juncai/ggxx/info/2025/8a1d04049afc00a8019b2154b45f4a58.html?noticeType=001024</x:v>
      </x:c>
    </x:row>
    <x:row r="56" ht="44" customHeight="1">
      <x:c r="A56" s="35" t="str"/>
      <x:c r="B56" s="35" t="str"/>
      <x:c r="C56" s="35" t="str">
        <x:v>广东纳萨斯通信科技有限公司</x:v>
      </x:c>
      <x:c r="D56" s="35" t="str">
        <x:v>Guangdong Nasis Communication Technology Co. Ltd.</x:v>
      </x:c>
      <x:c r="E56" s="35" t="str">
        <x:v>counter_UAS_detection_EW_and_control</x:v>
      </x:c>
      <x:c r="F56" s="35" t="str">
        <x:v>provisional_watchlist</x:v>
      </x:c>
      <x:c r="G56" s="35" t="str">
        <x:v>counter_UAS_integrator</x:v>
      </x:c>
      <x:c r="H56" s="36" t="n">
        <x:v>2</x:v>
      </x:c>
      <x:c r="I56" s="36" t="n">
        <x:v>2</x:v>
      </x:c>
      <x:c r="J56" s="36" t="n">
        <x:v>1</x:v>
      </x:c>
      <x:c r="K56" s="36" t="str">
        <x:v>E2</x:v>
      </x:c>
      <x:c r="L56" s="36" t="str">
        <x:v>U1</x:v>
      </x:c>
      <x:c r="M56" s="36" t="n">
        <x:v>1</x:v>
      </x:c>
      <x:c r="N56" s="36" t="n">
        <x:v>40</x:v>
      </x:c>
      <x:c r="O56" s="36" t="n">
        <x:v>28</x:v>
      </x:c>
      <x:c r="P56" s="36" t="n">
        <x:v>3</x:v>
      </x:c>
      <x:c r="Q56" s="36" t="str"/>
      <x:c r="R56" s="36" t="str">
        <x:v>Not assessed: no named limited-source or requalification evidence.</x:v>
      </x:c>
      <x:c r="S56" s="36" t="n">
        <x:f>ROUND(25*('Scoring Method'!$B$5*H56+'Scoring Method'!$B$6*M56+'Scoring Method'!$B$7*J56+'Scoring Method'!$B$8*I56),0)</x:f>
        <x:v>40</x:v>
      </x:c>
      <x:c r="T56" s="36" t="n">
        <x:f>ROUND(S56*CHOOSE(VALUE(RIGHT(K56,1)),0.5,0.7,0.85,1),0)</x:f>
        <x:v>28</x:v>
      </x:c>
      <x:c r="U56" s="35" t="str">
        <x:v>https://www.donasas.com/ | https://www.plap.mil.cn/freecms/site/juncai/ggxx/info/2026/8a1d002c9afc0109019c4fbf41ba041a.html | https://www.plap.mil.cn/freecms/site/juncai/ggxx/info/2026/8a1d03e69cd1fb5c019d0a2b42f932db.html</x:v>
      </x:c>
    </x:row>
  </x:sheetData>
  <x:mergeCells>
    <x:mergeCell ref="A1:U1"/>
    <x:mergeCell ref="A2:U2"/>
  </x:mergeCells>
  <x:conditionalFormatting sqref="F5:F56">
    <x:cfRule type="containsText" dxfId="0" priority="1" operator="containsText" text="verified"/>
    <x:cfRule type="containsText" dxfId="1" priority="2" operator="containsText" text="provisional"/>
  </x:conditionalFormatting>
  <x:pageMargins left="0.7" right="0.7" top="0.75" bottom="0.75" header="0.3" footer="0.3"/>
  <x:tableParts count="1">
    <x:tablePart xmlns:r="http://schemas.openxmlformats.org/officeDocument/2006/relationships" r:id="R02c80374413043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24" hidden="0" customWidth="1"/>
    <x:col min="5" max="5" width="23" hidden="0" customWidth="1"/>
    <x:col min="6" max="6" width="13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10" hidden="0" customWidth="1"/>
    <x:col min="12" max="12" width="12" hidden="0" customWidth="1"/>
    <x:col min="13" max="13" width="13" hidden="0" customWidth="1"/>
    <x:col min="14" max="14" width="10" hidden="0" customWidth="1"/>
    <x:col min="15" max="15" width="10" hidden="0" customWidth="1"/>
    <x:col min="16" max="16" width="10" hidden="0" customWidth="1"/>
    <x:col min="17" max="17" width="11" hidden="0" customWidth="1"/>
    <x:col min="18" max="18" width="65" hidden="0" customWidth="1"/>
  </x:cols>
  <x:sheetData>
    <x:row r="1" ht="32" customHeight="1">
      <x:c r="A1" s="3" t="str">
        <x:v>Capability-level assessment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The record is an assessment—not a generic supplier claim. Raw input maxima are retained to reveal conservative score normalizations.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11" t="str">
        <x:v>Assessment ID</x:v>
      </x:c>
      <x:c r="B4" s="11" t="str">
        <x:v>Supplier</x:v>
      </x:c>
      <x:c r="C4" s="11" t="str">
        <x:v>Capability family</x:v>
      </x:c>
      <x:c r="D4" s="11" t="str">
        <x:v>Lane</x:v>
      </x:c>
      <x:c r="E4" s="11" t="str">
        <x:v>Status</x:v>
      </x:c>
      <x:c r="F4" s="11" t="str">
        <x:v>Rank eligible</x:v>
      </x:c>
      <x:c r="G4" s="11" t="str">
        <x:v>C</x:v>
      </x:c>
      <x:c r="H4" s="11" t="str">
        <x:v>I</x:v>
      </x:c>
      <x:c r="I4" s="11" t="str">
        <x:v>X</x:v>
      </x:c>
      <x:c r="J4" s="11" t="str">
        <x:v>E</x:v>
      </x:c>
      <x:c r="K4" s="11" t="str">
        <x:v>Maturity</x:v>
      </x:c>
      <x:c r="L4" s="11" t="str">
        <x:v>Importance</x:v>
      </x:c>
      <x:c r="M4" s="11" t="str">
        <x:v>Lower bound</x:v>
      </x:c>
      <x:c r="N4" s="11" t="str">
        <x:v>Raw C max</x:v>
      </x:c>
      <x:c r="O4" s="11" t="str">
        <x:v>Raw I max</x:v>
      </x:c>
      <x:c r="P4" s="11" t="str">
        <x:v>Raw X max</x:v>
      </x:c>
      <x:c r="Q4" s="11" t="str">
        <x:v>Evidence count</x:v>
      </x:c>
      <x:c r="R4" s="11" t="str">
        <x:v>Caveat</x:v>
      </x:c>
    </x:row>
    <x:row r="5" ht="52" customHeight="1">
      <x:c r="A5" s="35" t="str">
        <x:v>CNSCA-21CEE20030</x:v>
      </x:c>
      <x:c r="B5" s="35" t="str">
        <x:v>北京理工导航控制科技股份有限公司</x:v>
      </x:c>
      <x:c r="C5" s="35" t="str">
        <x:v>inertial_navigation_and_guidance</x:v>
      </x:c>
      <x:c r="D5" s="35" t="str">
        <x:v>component_or_subsystem_supplier</x:v>
      </x:c>
      <x:c r="E5" s="35" t="str">
        <x:v>verified_supplier</x:v>
      </x:c>
      <x:c r="F5" s="35" t="str">
        <x:v>Yes</x:v>
      </x:c>
      <x:c r="G5" s="35" t="n">
        <x:v>4</x:v>
      </x:c>
      <x:c r="H5" s="35" t="n">
        <x:v>3</x:v>
      </x:c>
      <x:c r="I5" s="35" t="n">
        <x:v>2</x:v>
      </x:c>
      <x:c r="J5" s="35" t="str">
        <x:v>E4</x:v>
      </x:c>
      <x:c r="K5" s="35" t="str">
        <x:v>U5</x:v>
      </x:c>
      <x:c r="L5" s="35" t="n">
        <x:v>86</x:v>
      </x:c>
      <x:c r="M5" s="35" t="n">
        <x:v>86</x:v>
      </x:c>
      <x:c r="N5" s="35" t="n">
        <x:v>4</x:v>
      </x:c>
      <x:c r="O5" s="35" t="n">
        <x:v>3</x:v>
      </x:c>
      <x:c r="P5" s="35" t="n">
        <x:v>2</x:v>
      </x:c>
      <x:c r="Q5" s="35" t="n">
        <x:v>1</x:v>
      </x:c>
      <x:c r="R5" s="35" t="str">
        <x:v>Do not infer weapon identity or named PLA customer from redacted model/customer fields.</x:v>
      </x:c>
    </x:row>
    <x:row r="6" ht="52" customHeight="1">
      <x:c r="A6" s="35" t="str">
        <x:v>CNSCA-F0C568E721</x:v>
      </x:c>
      <x:c r="B6" s="35" t="str">
        <x:v>上海霍莱沃电子系统技术股份有限公司</x:v>
      </x:c>
      <x:c r="C6" s="35" t="str">
        <x:v>electromagnetic_simulation_AESA_calibration_and_validation</x:v>
      </x:c>
      <x:c r="D6" s="35" t="str">
        <x:v>production_enabler</x:v>
      </x:c>
      <x:c r="E6" s="35" t="str">
        <x:v>verified_production_enabler</x:v>
      </x:c>
      <x:c r="F6" s="35" t="str">
        <x:v>Yes</x:v>
      </x:c>
      <x:c r="G6" s="35" t="n">
        <x:v>3</x:v>
      </x:c>
      <x:c r="H6" s="35" t="n">
        <x:v>4</x:v>
      </x:c>
      <x:c r="I6" s="35" t="n">
        <x:v>3</x:v>
      </x:c>
      <x:c r="J6" s="35" t="str">
        <x:v>E4</x:v>
      </x:c>
      <x:c r="K6" s="35" t="str">
        <x:v>U3</x:v>
      </x:c>
      <x:c r="L6" s="35" t="n">
        <x:v>79</x:v>
      </x:c>
      <x:c r="M6" s="35" t="n">
        <x:v>79</x:v>
      </x:c>
      <x:c r="N6" s="35" t="n">
        <x:v>3</x:v>
      </x:c>
      <x:c r="O6" s="35" t="n">
        <x:v>4</x:v>
      </x:c>
      <x:c r="P6" s="35" t="n">
        <x:v>3</x:v>
      </x:c>
      <x:c r="Q6" s="35" t="n">
        <x:v>1</x:v>
      </x:c>
      <x:c r="R6" s="35" t="str">
        <x:v>Project support and a tender-candidate record do not establish current delivery, an exclusive validation bottleneck, or a specific military-program dependency.</x:v>
      </x:c>
    </x:row>
    <x:row r="7" ht="52" customHeight="1">
      <x:c r="A7" s="35" t="str">
        <x:v>CNSCA-A63BD1FF74</x:v>
      </x:c>
      <x:c r="B7" s="35" t="str">
        <x:v>北京晶品特装科技股份有限公司</x:v>
      </x:c>
      <x:c r="C7" s="35" t="str">
        <x:v>military_robot_motion_and_EO_modules</x:v>
      </x:c>
      <x:c r="D7" s="35" t="str">
        <x:v>production_enabler</x:v>
      </x:c>
      <x:c r="E7" s="35" t="str">
        <x:v>verified_production_enabler</x:v>
      </x:c>
      <x:c r="F7" s="35" t="str">
        <x:v>Yes</x:v>
      </x:c>
      <x:c r="G7" s="35" t="n">
        <x:v>3</x:v>
      </x:c>
      <x:c r="H7" s="35" t="n">
        <x:v>4</x:v>
      </x:c>
      <x:c r="I7" s="35" t="n">
        <x:v>2</x:v>
      </x:c>
      <x:c r="J7" s="35" t="str">
        <x:v>E4</x:v>
      </x:c>
      <x:c r="K7" s="35" t="str">
        <x:v>U4</x:v>
      </x:c>
      <x:c r="L7" s="35" t="n">
        <x:v>79</x:v>
      </x:c>
      <x:c r="M7" s="35" t="n">
        <x:v>79</x:v>
      </x:c>
      <x:c r="N7" s="35" t="n">
        <x:v>3</x:v>
      </x:c>
      <x:c r="O7" s="35" t="n">
        <x:v>4</x:v>
      </x:c>
      <x:c r="P7" s="35" t="n">
        <x:v>3</x:v>
      </x:c>
      <x:c r="Q7" s="35" t="n">
        <x:v>1</x:v>
      </x:c>
      <x:c r="R7" s="35" t="str">
        <x:v>Treat as robot integrator/upstream module developer; payload project at initial flight test remains R&amp;D.</x:v>
      </x:c>
    </x:row>
    <x:row r="8" ht="52" customHeight="1">
      <x:c r="A8" s="35" t="str">
        <x:v>CNSCA-3385A3CAA0</x:v>
      </x:c>
      <x:c r="B8" s="35" t="str">
        <x:v>南京国博电子股份有限公司</x:v>
      </x:c>
      <x:c r="C8" s="35" t="str">
        <x:v>AESA_TR_modules_and_RF_ICs</x:v>
      </x:c>
      <x:c r="D8" s="35" t="str">
        <x:v>component_or_subsystem_supplier</x:v>
      </x:c>
      <x:c r="E8" s="35" t="str">
        <x:v>verified_supplier</x:v>
      </x:c>
      <x:c r="F8" s="35" t="str">
        <x:v>Yes</x:v>
      </x:c>
      <x:c r="G8" s="35" t="n">
        <x:v>3</x:v>
      </x:c>
      <x:c r="H8" s="35" t="n">
        <x:v>4</x:v>
      </x:c>
      <x:c r="I8" s="35" t="n">
        <x:v>2</x:v>
      </x:c>
      <x:c r="J8" s="35" t="str">
        <x:v>E4</x:v>
      </x:c>
      <x:c r="K8" s="35" t="str">
        <x:v>U4</x:v>
      </x:c>
      <x:c r="L8" s="35" t="n">
        <x:v>79</x:v>
      </x:c>
      <x:c r="M8" s="35" t="n">
        <x:v>79</x:v>
      </x:c>
      <x:c r="N8" s="35" t="n">
        <x:v>4</x:v>
      </x:c>
      <x:c r="O8" s="35" t="n">
        <x:v>4</x:v>
      </x:c>
      <x:c r="P8" s="35" t="n">
        <x:v>4</x:v>
      </x:c>
      <x:c r="Q8" s="35" t="n">
        <x:v>2</x:v>
      </x:c>
      <x:c r="R8" s="35" t="str">
        <x:v>No military end customer/platform named; do not represent as monopoly. | Product overlap with CETC 13th Institute means this is not evidence of exclusive national supply.</x:v>
      </x:c>
    </x:row>
    <x:row r="9" ht="52" customHeight="1">
      <x:c r="A9" s="35" t="str">
        <x:v>CNSCA-44C5B9481E</x:v>
      </x:c>
      <x:c r="B9" s="35" t="str">
        <x:v>成都天箭科技股份有限公司</x:v>
      </x:c>
      <x:c r="C9" s="35" t="str">
        <x:v>radar_seeker_transmitters_and_RF_frontends</x:v>
      </x:c>
      <x:c r="D9" s="35" t="str">
        <x:v>component_or_subsystem_supplier</x:v>
      </x:c>
      <x:c r="E9" s="35" t="str">
        <x:v>verified_supplier</x:v>
      </x:c>
      <x:c r="F9" s="35" t="str">
        <x:v>Yes</x:v>
      </x:c>
      <x:c r="G9" s="35" t="n">
        <x:v>3</x:v>
      </x:c>
      <x:c r="H9" s="35" t="n">
        <x:v>4</x:v>
      </x:c>
      <x:c r="I9" s="35" t="n">
        <x:v>2</x:v>
      </x:c>
      <x:c r="J9" s="35" t="str">
        <x:v>E4</x:v>
      </x:c>
      <x:c r="K9" s="35" t="str">
        <x:v>U5</x:v>
      </x:c>
      <x:c r="L9" s="35" t="n">
        <x:v>79</x:v>
      </x:c>
      <x:c r="M9" s="35" t="n">
        <x:v>79</x:v>
      </x:c>
      <x:c r="N9" s="35" t="n">
        <x:v>4</x:v>
      </x:c>
      <x:c r="O9" s="35" t="n">
        <x:v>4</x:v>
      </x:c>
      <x:c r="P9" s="35" t="n">
        <x:v>4</x:v>
      </x:c>
      <x:c r="Q9" s="35" t="n">
        <x:v>2</x:v>
      </x:c>
      <x:c r="R9" s="35" t="str">
        <x:v>Production-base delays mean individual R&amp;D projects should not be labeled fielded. | 2025 military price review caused RMB260.2m revenue adjustment; do not use revenue fall as a demand proxy.</x:v>
      </x:c>
    </x:row>
    <x:row r="10" ht="52" customHeight="1">
      <x:c r="A10" s="35" t="str">
        <x:v>CNSCA-FA049DE64A</x:v>
      </x:c>
      <x:c r="B10" s="35" t="str">
        <x:v>北京新兴东方航空装备股份有限公司</x:v>
      </x:c>
      <x:c r="C10" s="35" t="str">
        <x:v>servo_control_and_precision_transmission</x:v>
      </x:c>
      <x:c r="D10" s="35" t="str">
        <x:v>component_or_subsystem_supplier</x:v>
      </x:c>
      <x:c r="E10" s="35" t="str">
        <x:v>verified_supplier</x:v>
      </x:c>
      <x:c r="F10" s="35" t="str">
        <x:v>Yes</x:v>
      </x:c>
      <x:c r="G10" s="35" t="n">
        <x:v>3</x:v>
      </x:c>
      <x:c r="H10" s="35" t="n">
        <x:v>3</x:v>
      </x:c>
      <x:c r="I10" s="35" t="n">
        <x:v>2</x:v>
      </x:c>
      <x:c r="J10" s="35" t="str">
        <x:v>E4</x:v>
      </x:c>
      <x:c r="K10" s="35" t="str">
        <x:v>U5</x:v>
      </x:c>
      <x:c r="L10" s="35" t="n">
        <x:v>75</x:v>
      </x:c>
      <x:c r="M10" s="35" t="n">
        <x:v>75</x:v>
      </x:c>
      <x:c r="N10" s="35" t="n">
        <x:v>4</x:v>
      </x:c>
      <x:c r="O10" s="35" t="n">
        <x:v>3</x:v>
      </x:c>
      <x:c r="P10" s="35" t="n">
        <x:v>3</x:v>
      </x:c>
      <x:c r="Q10" s="35" t="n">
        <x:v>1</x:v>
      </x:c>
      <x:c r="R10" s="35" t="str">
        <x:v>No specific helicopter model or contract value disclosed.</x:v>
      </x:c>
    </x:row>
    <x:row r="11" ht="52" customHeight="1">
      <x:c r="A11" s="35" t="str">
        <x:v>CNSCA-704D4D4A26</x:v>
      </x:c>
      <x:c r="B11" s="35" t="str">
        <x:v>南京高华科技股份有限公司</x:v>
      </x:c>
      <x:c r="C11" s="35" t="str">
        <x:v>MEMS_sensor_chips_and_condition_monitoring</x:v>
      </x:c>
      <x:c r="D11" s="35" t="str">
        <x:v>component_or_subsystem_supplier</x:v>
      </x:c>
      <x:c r="E11" s="35" t="str">
        <x:v>verified_supplier</x:v>
      </x:c>
      <x:c r="F11" s="35" t="str">
        <x:v>Yes</x:v>
      </x:c>
      <x:c r="G11" s="35" t="n">
        <x:v>3</x:v>
      </x:c>
      <x:c r="H11" s="35" t="n">
        <x:v>3</x:v>
      </x:c>
      <x:c r="I11" s="35" t="n">
        <x:v>2</x:v>
      </x:c>
      <x:c r="J11" s="35" t="str">
        <x:v>E4</x:v>
      </x:c>
      <x:c r="K11" s="35" t="str">
        <x:v>U4</x:v>
      </x:c>
      <x:c r="L11" s="35" t="n">
        <x:v>75</x:v>
      </x:c>
      <x:c r="M11" s="35" t="n">
        <x:v>75</x:v>
      </x:c>
      <x:c r="N11" s="35" t="n">
        <x:v>4</x:v>
      </x:c>
      <x:c r="O11" s="35" t="n">
        <x:v>3</x:v>
      </x:c>
      <x:c r="P11" s="35" t="n">
        <x:v>3</x:v>
      </x:c>
      <x:c r="Q11" s="35" t="n">
        <x:v>2</x:v>
      </x:c>
      <x:c r="R11" s="35" t="str">
        <x:v>No model quantity or named military customer. | Keep technical and customer claims separate because no product/customer pairing is disclosed.</x:v>
      </x:c>
    </x:row>
    <x:row r="12" ht="52" customHeight="1">
      <x:c r="A12" s="35" t="str">
        <x:v>CNSCA-2C9245B437</x:v>
      </x:c>
      <x:c r="B12" s="35" t="str">
        <x:v>天津七一二通信广播股份有限公司</x:v>
      </x:c>
      <x:c r="C12" s="35" t="str">
        <x:v>military_wireless_and_unattended_system_comms</x:v>
      </x:c>
      <x:c r="D12" s="35" t="str">
        <x:v>component_or_subsystem_supplier</x:v>
      </x:c>
      <x:c r="E12" s="35" t="str">
        <x:v>verified_supplier</x:v>
      </x:c>
      <x:c r="F12" s="35" t="str">
        <x:v>Yes</x:v>
      </x:c>
      <x:c r="G12" s="35" t="n">
        <x:v>3</x:v>
      </x:c>
      <x:c r="H12" s="35" t="n">
        <x:v>3</x:v>
      </x:c>
      <x:c r="I12" s="35" t="n">
        <x:v>3</x:v>
      </x:c>
      <x:c r="J12" s="35" t="str">
        <x:v>E4</x:v>
      </x:c>
      <x:c r="K12" s="35" t="str">
        <x:v>U3</x:v>
      </x:c>
      <x:c r="L12" s="35" t="n">
        <x:v>75</x:v>
      </x:c>
      <x:c r="M12" s="35" t="n">
        <x:v>75</x:v>
      </x:c>
      <x:c r="N12" s="35" t="n">
        <x:v>4</x:v>
      </x:c>
      <x:c r="O12" s="35" t="n">
        <x:v>3</x:v>
      </x:c>
      <x:c r="P12" s="35" t="n">
        <x:v>4</x:v>
      </x:c>
      <x:c r="Q12" s="35" t="n">
        <x:v>1</x:v>
      </x:c>
      <x:c r="R12" s="35" t="str">
        <x:v>Multi-supplier market; no sole-source inference.</x:v>
      </x:c>
    </x:row>
    <x:row r="13" ht="52" customHeight="1">
      <x:c r="A13" s="35" t="str">
        <x:v>CNSCA-06C4F00FB5</x:v>
      </x:c>
      <x:c r="B13" s="35" t="str">
        <x:v>成都盟升电子技术股份有限公司</x:v>
      </x:c>
      <x:c r="C13" s="35" t="str">
        <x:v>tactical_navigation_datalinks_and_EW_terminals</x:v>
      </x:c>
      <x:c r="D13" s="35" t="str">
        <x:v>component_or_subsystem_supplier</x:v>
      </x:c>
      <x:c r="E13" s="35" t="str">
        <x:v>verified_supplier</x:v>
      </x:c>
      <x:c r="F13" s="35" t="str">
        <x:v>Yes</x:v>
      </x:c>
      <x:c r="G13" s="35" t="n">
        <x:v>3</x:v>
      </x:c>
      <x:c r="H13" s="35" t="n">
        <x:v>3</x:v>
      </x:c>
      <x:c r="I13" s="35" t="n">
        <x:v>2</x:v>
      </x:c>
      <x:c r="J13" s="35" t="str">
        <x:v>E4</x:v>
      </x:c>
      <x:c r="K13" s="35" t="str">
        <x:v>U4</x:v>
      </x:c>
      <x:c r="L13" s="35" t="n">
        <x:v>75</x:v>
      </x:c>
      <x:c r="M13" s="35" t="n">
        <x:v>75</x:v>
      </x:c>
      <x:c r="N13" s="35" t="n">
        <x:v>3</x:v>
      </x:c>
      <x:c r="O13" s="35" t="n">
        <x:v>3</x:v>
      </x:c>
      <x:c r="P13" s="35" t="n">
        <x:v>2</x:v>
      </x:c>
      <x:c r="Q13" s="35" t="n">
        <x:v>1</x:v>
      </x:c>
      <x:c r="R13" s="35" t="str">
        <x:v>The filing demonstrates a bounded product role but does not identify military customers, volumes, or exclusivity.</x:v>
      </x:c>
    </x:row>
    <x:row r="14" ht="52" customHeight="1">
      <x:c r="A14" s="35" t="str">
        <x:v>CNSCA-EDBD70594B</x:v>
      </x:c>
      <x:c r="B14" s="35" t="str">
        <x:v>武汉高德红外股份有限公司</x:v>
      </x:c>
      <x:c r="C14" s="35" t="str">
        <x:v>IR_detectors_and_EO_systems</x:v>
      </x:c>
      <x:c r="D14" s="35" t="str">
        <x:v>component_or_subsystem_supplier</x:v>
      </x:c>
      <x:c r="E14" s="35" t="str">
        <x:v>verified_supplier</x:v>
      </x:c>
      <x:c r="F14" s="35" t="str">
        <x:v>Yes</x:v>
      </x:c>
      <x:c r="G14" s="35" t="n">
        <x:v>3</x:v>
      </x:c>
      <x:c r="H14" s="35" t="n">
        <x:v>3</x:v>
      </x:c>
      <x:c r="I14" s="35" t="n">
        <x:v>2</x:v>
      </x:c>
      <x:c r="J14" s="35" t="str">
        <x:v>E4</x:v>
      </x:c>
      <x:c r="K14" s="35" t="str">
        <x:v>U4</x:v>
      </x:c>
      <x:c r="L14" s="35" t="n">
        <x:v>75</x:v>
      </x:c>
      <x:c r="M14" s="35" t="n">
        <x:v>75</x:v>
      </x:c>
      <x:c r="N14" s="35" t="n">
        <x:v>4</x:v>
      </x:c>
      <x:c r="O14" s="35" t="n">
        <x:v>3</x:v>
      </x:c>
      <x:c r="P14" s="35" t="n">
        <x:v>4</x:v>
      </x:c>
      <x:c r="Q14" s="35" t="n">
        <x:v>1</x:v>
      </x:c>
      <x:c r="R14" s="35" t="str">
        <x:v>Exact systems/models/buyers withheld; do not turn 'high-end systems' into named platforms.</x:v>
      </x:c>
    </x:row>
    <x:row r="15" ht="52" customHeight="1">
      <x:c r="A15" s="35" t="str">
        <x:v>CNSCA-FBEEBE8091</x:v>
      </x:c>
      <x:c r="B15" s="35" t="str">
        <x:v>浙江臻镭科技股份有限公司</x:v>
      </x:c>
      <x:c r="C15" s="35" t="str">
        <x:v>RF_data_conversion_power_and_microsystems</x:v>
      </x:c>
      <x:c r="D15" s="35" t="str">
        <x:v>component_or_subsystem_supplier</x:v>
      </x:c>
      <x:c r="E15" s="35" t="str">
        <x:v>verified_supplier</x:v>
      </x:c>
      <x:c r="F15" s="35" t="str">
        <x:v>Yes</x:v>
      </x:c>
      <x:c r="G15" s="35" t="n">
        <x:v>3</x:v>
      </x:c>
      <x:c r="H15" s="35" t="n">
        <x:v>3</x:v>
      </x:c>
      <x:c r="I15" s="35" t="n">
        <x:v>2</x:v>
      </x:c>
      <x:c r="J15" s="35" t="str">
        <x:v>E4</x:v>
      </x:c>
      <x:c r="K15" s="35" t="str">
        <x:v>U4</x:v>
      </x:c>
      <x:c r="L15" s="35" t="n">
        <x:v>75</x:v>
      </x:c>
      <x:c r="M15" s="35" t="n">
        <x:v>75</x:v>
      </x:c>
      <x:c r="N15" s="35" t="n">
        <x:v>3</x:v>
      </x:c>
      <x:c r="O15" s="35" t="n">
        <x:v>3</x:v>
      </x:c>
      <x:c r="P15" s="35" t="n">
        <x:v>2</x:v>
      </x:c>
      <x:c r="Q15" s="35" t="n">
        <x:v>1</x:v>
      </x:c>
      <x:c r="R15" s="35" t="str">
        <x:v>The filing does not name a program, customer, or exclusive position; cross-domain credit is capped at the directly described capability scope.</x:v>
      </x:c>
    </x:row>
    <x:row r="16" ht="52" customHeight="1">
      <x:c r="A16" s="35" t="str">
        <x:v>CNSCA-D11C362C85</x:v>
      </x:c>
      <x:c r="B16" s="35" t="str">
        <x:v>湖南航天环宇通信科技股份有限公司</x:v>
      </x:c>
      <x:c r="C16" s="35" t="str">
        <x:v>space_microwave_inertial_components_and_antennas</x:v>
      </x:c>
      <x:c r="D16" s="35" t="str">
        <x:v>component_or_subsystem_supplier</x:v>
      </x:c>
      <x:c r="E16" s="35" t="str">
        <x:v>verified_supplier</x:v>
      </x:c>
      <x:c r="F16" s="35" t="str">
        <x:v>Yes</x:v>
      </x:c>
      <x:c r="G16" s="35" t="n">
        <x:v>3</x:v>
      </x:c>
      <x:c r="H16" s="35" t="n">
        <x:v>3</x:v>
      </x:c>
      <x:c r="I16" s="35" t="n">
        <x:v>2</x:v>
      </x:c>
      <x:c r="J16" s="35" t="str">
        <x:v>E4</x:v>
      </x:c>
      <x:c r="K16" s="35" t="str">
        <x:v>U4</x:v>
      </x:c>
      <x:c r="L16" s="35" t="n">
        <x:v>75</x:v>
      </x:c>
      <x:c r="M16" s="35" t="n">
        <x:v>75</x:v>
      </x:c>
      <x:c r="N16" s="35" t="n">
        <x:v>3</x:v>
      </x:c>
      <x:c r="O16" s="35" t="n">
        <x:v>3</x:v>
      </x:c>
      <x:c r="P16" s="35" t="n">
        <x:v>3</x:v>
      </x:c>
      <x:c r="Q16" s="35" t="n">
        <x:v>1</x:v>
      </x:c>
      <x:c r="R16" s="35" t="str">
        <x:v>High aerospace relevance but military end use not named.</x:v>
      </x:c>
    </x:row>
    <x:row r="17" ht="52" customHeight="1">
      <x:c r="A17" s="35" t="str">
        <x:v>CNSCA-266AD89280</x:v>
      </x:c>
      <x:c r="B17" s="35" t="str">
        <x:v>浙江铖昌科技股份有限公司</x:v>
      </x:c>
      <x:c r="C17" s="35" t="str">
        <x:v>GaN_GaAs_phased_array_TR_chips</x:v>
      </x:c>
      <x:c r="D17" s="35" t="str">
        <x:v>component_or_subsystem_supplier</x:v>
      </x:c>
      <x:c r="E17" s="35" t="str">
        <x:v>verified_supplier</x:v>
      </x:c>
      <x:c r="F17" s="35" t="str">
        <x:v>Yes</x:v>
      </x:c>
      <x:c r="G17" s="35" t="n">
        <x:v>3</x:v>
      </x:c>
      <x:c r="H17" s="35" t="n">
        <x:v>4</x:v>
      </x:c>
      <x:c r="I17" s="35" t="n">
        <x:v>3</x:v>
      </x:c>
      <x:c r="J17" s="35" t="str">
        <x:v>E3</x:v>
      </x:c>
      <x:c r="K17" s="35" t="str">
        <x:v>U4</x:v>
      </x:c>
      <x:c r="L17" s="35" t="n">
        <x:v>84</x:v>
      </x:c>
      <x:c r="M17" s="35" t="n">
        <x:v>71</x:v>
      </x:c>
      <x:c r="N17" s="35" t="n">
        <x:v>4</x:v>
      </x:c>
      <x:c r="O17" s="35" t="n">
        <x:v>4</x:v>
      </x:c>
      <x:c r="P17" s="35" t="n">
        <x:v>4</x:v>
      </x:c>
      <x:c r="Q17" s="35" t="n">
        <x:v>1</x:v>
      </x:c>
      <x:c r="R17" s="35" t="str">
        <x:v>Do not label a military-supplier edge from this source alone.</x:v>
      </x:c>
    </x:row>
    <x:row r="18" ht="52" customHeight="1">
      <x:c r="A18" s="35" t="str">
        <x:v>CNSCA-96F078E2AA</x:v>
      </x:c>
      <x:c r="B18" s="35" t="str">
        <x:v>航天时代电子技术股份有限公司</x:v>
      </x:c>
      <x:c r="C18" s="35" t="str">
        <x:v>unmanned_systems_and_aerospace_electronics_integration</x:v>
      </x:c>
      <x:c r="D18" s="35" t="str">
        <x:v>unmanned_systems_enabler</x:v>
      </x:c>
      <x:c r="E18" s="35" t="str">
        <x:v>verified_supplier</x:v>
      </x:c>
      <x:c r="F18" s="35" t="str">
        <x:v>Yes</x:v>
      </x:c>
      <x:c r="G18" s="35" t="n">
        <x:v>3</x:v>
      </x:c>
      <x:c r="H18" s="35" t="n">
        <x:v>2</x:v>
      </x:c>
      <x:c r="I18" s="35" t="n">
        <x:v>2</x:v>
      </x:c>
      <x:c r="J18" s="35" t="str">
        <x:v>E4</x:v>
      </x:c>
      <x:c r="K18" s="35" t="str">
        <x:v>U4</x:v>
      </x:c>
      <x:c r="L18" s="35" t="n">
        <x:v>71</x:v>
      </x:c>
      <x:c r="M18" s="35" t="n">
        <x:v>71</x:v>
      </x:c>
      <x:c r="N18" s="35" t="n">
        <x:v>3</x:v>
      </x:c>
      <x:c r="O18" s="35" t="n">
        <x:v>2</x:v>
      </x:c>
      <x:c r="P18" s="35" t="n">
        <x:v>2</x:v>
      </x:c>
      <x:c r="Q18" s="35" t="n">
        <x:v>1</x:v>
      </x:c>
      <x:c r="R18" s="35" t="str">
        <x:v>This is a prime/integrator scorecard; the disclosure does not establish the subsidiary-level supply chain or domestic military fielding scale.</x:v>
      </x:c>
    </x:row>
    <x:row r="19" ht="52" customHeight="1">
      <x:c r="A19" s="35" t="str">
        <x:v>CNSCA-D8202F393E</x:v>
      </x:c>
      <x:c r="B19" s="35" t="str">
        <x:v>中航光电科技股份有限公司</x:v>
      </x:c>
      <x:c r="C19" s="35" t="str">
        <x:v>high_reliability_interconnects_and_micro_motors</x:v>
      </x:c>
      <x:c r="D19" s="35" t="str">
        <x:v>production_enabler</x:v>
      </x:c>
      <x:c r="E19" s="35" t="str">
        <x:v>verified_production_enabler</x:v>
      </x:c>
      <x:c r="F19" s="35" t="str">
        <x:v>Yes</x:v>
      </x:c>
      <x:c r="G19" s="35" t="n">
        <x:v>3</x:v>
      </x:c>
      <x:c r="H19" s="35" t="n">
        <x:v>3</x:v>
      </x:c>
      <x:c r="I19" s="35" t="n">
        <x:v>2</x:v>
      </x:c>
      <x:c r="J19" s="35" t="str">
        <x:v>E4</x:v>
      </x:c>
      <x:c r="K19" s="35" t="str">
        <x:v>U3</x:v>
      </x:c>
      <x:c r="L19" s="35" t="n">
        <x:v>70</x:v>
      </x:c>
      <x:c r="M19" s="35" t="n">
        <x:v>70</x:v>
      </x:c>
      <x:c r="N19" s="35" t="n">
        <x:v>4</x:v>
      </x:c>
      <x:c r="O19" s="35" t="n">
        <x:v>3</x:v>
      </x:c>
      <x:c r="P19" s="35" t="n">
        <x:v>4</x:v>
      </x:c>
      <x:c r="Q19" s="35" t="n">
        <x:v>1</x:v>
      </x:c>
      <x:c r="R19" s="35" t="str">
        <x:v>Broad industrial-base evidence; no platform-specific sole-source claim.</x:v>
      </x:c>
    </x:row>
    <x:row r="20" ht="52" customHeight="1">
      <x:c r="A20" s="35" t="str">
        <x:v>CNSCA-D1614000A1</x:v>
      </x:c>
      <x:c r="B20" s="35" t="str">
        <x:v>广电计量检测集团股份有限公司</x:v>
      </x:c>
      <x:c r="C20" s="35" t="str">
        <x:v>software_EMC_reliability_and_acceptance_testing</x:v>
      </x:c>
      <x:c r="D20" s="35" t="str">
        <x:v>production_enabler</x:v>
      </x:c>
      <x:c r="E20" s="35" t="str">
        <x:v>verified_production_enabler</x:v>
      </x:c>
      <x:c r="F20" s="35" t="str">
        <x:v>Yes</x:v>
      </x:c>
      <x:c r="G20" s="35" t="n">
        <x:v>3</x:v>
      </x:c>
      <x:c r="H20" s="35" t="n">
        <x:v>3</x:v>
      </x:c>
      <x:c r="I20" s="35" t="n">
        <x:v>2</x:v>
      </x:c>
      <x:c r="J20" s="35" t="str">
        <x:v>E4</x:v>
      </x:c>
      <x:c r="K20" s="35" t="str">
        <x:v>U3</x:v>
      </x:c>
      <x:c r="L20" s="35" t="n">
        <x:v>70</x:v>
      </x:c>
      <x:c r="M20" s="35" t="n">
        <x:v>70</x:v>
      </x:c>
      <x:c r="N20" s="35" t="n">
        <x:v>3</x:v>
      </x:c>
      <x:c r="O20" s="35" t="n">
        <x:v>3</x:v>
      </x:c>
      <x:c r="P20" s="35" t="n">
        <x:v>4</x:v>
      </x:c>
      <x:c r="Q20" s="35" t="n">
        <x:v>1</x:v>
      </x:c>
      <x:c r="R20" s="35" t="str">
        <x:v>Production-enablement/test service; not a platform or component manufacturer.</x:v>
      </x:c>
    </x:row>
    <x:row r="21" ht="52" customHeight="1">
      <x:c r="A21" s="35" t="str">
        <x:v>CNSCA-A064C93AE6</x:v>
      </x:c>
      <x:c r="B21" s="35" t="str">
        <x:v>航天工业发展股份有限公司</x:v>
      </x:c>
      <x:c r="C21" s="35" t="str">
        <x:v>military_networks_C2_and_UAV_comms_nodes</x:v>
      </x:c>
      <x:c r="D21" s="35" t="str">
        <x:v>unmanned_systems_enabler</x:v>
      </x:c>
      <x:c r="E21" s="35" t="str">
        <x:v>verified_supplier</x:v>
      </x:c>
      <x:c r="F21" s="35" t="str">
        <x:v>Yes</x:v>
      </x:c>
      <x:c r="G21" s="35" t="n">
        <x:v>3</x:v>
      </x:c>
      <x:c r="H21" s="35" t="n">
        <x:v>3</x:v>
      </x:c>
      <x:c r="I21" s="35" t="n">
        <x:v>2</x:v>
      </x:c>
      <x:c r="J21" s="35" t="str">
        <x:v>E4</x:v>
      </x:c>
      <x:c r="K21" s="35" t="str">
        <x:v>U3</x:v>
      </x:c>
      <x:c r="L21" s="35" t="n">
        <x:v>70</x:v>
      </x:c>
      <x:c r="M21" s="35" t="n">
        <x:v>70</x:v>
      </x:c>
      <x:c r="N21" s="35" t="n">
        <x:v>4</x:v>
      </x:c>
      <x:c r="O21" s="35" t="n">
        <x:v>3</x:v>
      </x:c>
      <x:c r="P21" s="35" t="n">
        <x:v>4</x:v>
      </x:c>
      <x:c r="Q21" s="35" t="n">
        <x:v>1</x:v>
      </x:c>
      <x:c r="R21" s="35" t="str">
        <x:v>System integrator/prime rather than a pure component maker; exclude from under-the-radar component-only ranking.</x:v>
      </x:c>
    </x:row>
    <x:row r="22" ht="52" customHeight="1">
      <x:c r="A22" s="35" t="str">
        <x:v>CNSCA-1C6C4C19E3</x:v>
      </x:c>
      <x:c r="B22" s="35" t="str">
        <x:v>航天科技控股集团股份有限公司</x:v>
      </x:c>
      <x:c r="C22" s="35" t="str">
        <x:v>accelerometers_inertial_servo_and_test_equipment</x:v>
      </x:c>
      <x:c r="D22" s="35" t="str">
        <x:v>production_enabler</x:v>
      </x:c>
      <x:c r="E22" s="35" t="str">
        <x:v>verified_production_enabler</x:v>
      </x:c>
      <x:c r="F22" s="35" t="str">
        <x:v>Yes</x:v>
      </x:c>
      <x:c r="G22" s="35" t="n">
        <x:v>3</x:v>
      </x:c>
      <x:c r="H22" s="35" t="n">
        <x:v>3</x:v>
      </x:c>
      <x:c r="I22" s="35" t="n">
        <x:v>3</x:v>
      </x:c>
      <x:c r="J22" s="35" t="str">
        <x:v>E3</x:v>
      </x:c>
      <x:c r="K22" s="35" t="str">
        <x:v>U3</x:v>
      </x:c>
      <x:c r="L22" s="35" t="n">
        <x:v>75</x:v>
      </x:c>
      <x:c r="M22" s="35" t="n">
        <x:v>64</x:v>
      </x:c>
      <x:c r="N22" s="35" t="n">
        <x:v>4</x:v>
      </x:c>
      <x:c r="O22" s="35" t="n">
        <x:v>3</x:v>
      </x:c>
      <x:c r="P22" s="35" t="n">
        <x:v>4</x:v>
      </x:c>
      <x:c r="Q22" s="35" t="n">
        <x:v>1</x:v>
      </x:c>
      <x:c r="R22" s="35" t="str">
        <x:v>Direct space-mission contribution does not establish each listed product in a weapon.</x:v>
      </x:c>
    </x:row>
    <x:row r="23" ht="52" customHeight="1">
      <x:c r="A23" s="35" t="str">
        <x:v>CNSCA-FBF37C7778</x:v>
      </x:c>
      <x:c r="B23" s="35" t="str">
        <x:v>烟台睿创微纳技术股份有限公司</x:v>
      </x:c>
      <x:c r="C23" s="35" t="str">
        <x:v>IR_detectors_thermal_cores_TR_and_laser_ranging</x:v>
      </x:c>
      <x:c r="D23" s="35" t="str">
        <x:v>component_or_subsystem_supplier</x:v>
      </x:c>
      <x:c r="E23" s="35" t="str">
        <x:v>verified_supplier</x:v>
      </x:c>
      <x:c r="F23" s="35" t="str">
        <x:v>Yes</x:v>
      </x:c>
      <x:c r="G23" s="35" t="n">
        <x:v>3</x:v>
      </x:c>
      <x:c r="H23" s="35" t="n">
        <x:v>4</x:v>
      </x:c>
      <x:c r="I23" s="35" t="n">
        <x:v>2</x:v>
      </x:c>
      <x:c r="J23" s="35" t="str">
        <x:v>E3</x:v>
      </x:c>
      <x:c r="K23" s="35" t="str">
        <x:v>U3</x:v>
      </x:c>
      <x:c r="L23" s="35" t="n">
        <x:v>74</x:v>
      </x:c>
      <x:c r="M23" s="35" t="n">
        <x:v>63</x:v>
      </x:c>
      <x:c r="N23" s="35" t="n">
        <x:v>3</x:v>
      </x:c>
      <x:c r="O23" s="35" t="n">
        <x:v>4</x:v>
      </x:c>
      <x:c r="P23" s="35" t="n">
        <x:v>4</x:v>
      </x:c>
      <x:c r="Q23" s="35" t="n">
        <x:v>1</x:v>
      </x:c>
      <x:c r="R23" s="35" t="str">
        <x:v>Special equipment is not equivalent to a disclosed PLA award.</x:v>
      </x:c>
    </x:row>
    <x:row r="24" ht="52" customHeight="1">
      <x:c r="A24" s="35" t="str">
        <x:v>CNSCA-7156C53713</x:v>
      </x:c>
      <x:c r="B24" s="35" t="str">
        <x:v>中航机载系统股份有限公司</x:v>
      </x:c>
      <x:c r="C24" s="35" t="str">
        <x:v>flight_control_INS_and_avionics</x:v>
      </x:c>
      <x:c r="D24" s="35" t="str">
        <x:v>component_or_subsystem_supplier</x:v>
      </x:c>
      <x:c r="E24" s="35" t="str">
        <x:v>verified_supplier</x:v>
      </x:c>
      <x:c r="F24" s="35" t="str">
        <x:v>Yes</x:v>
      </x:c>
      <x:c r="G24" s="35" t="n">
        <x:v>3</x:v>
      </x:c>
      <x:c r="H24" s="35" t="n">
        <x:v>3</x:v>
      </x:c>
      <x:c r="I24" s="35" t="n">
        <x:v>2</x:v>
      </x:c>
      <x:c r="J24" s="35" t="str">
        <x:v>E3</x:v>
      </x:c>
      <x:c r="K24" s="35" t="str">
        <x:v>U3</x:v>
      </x:c>
      <x:c r="L24" s="35" t="n">
        <x:v>70</x:v>
      </x:c>
      <x:c r="M24" s="35" t="n">
        <x:v>60</x:v>
      </x:c>
      <x:c r="N24" s="35" t="n">
        <x:v>4</x:v>
      </x:c>
      <x:c r="O24" s="35" t="n">
        <x:v>3</x:v>
      </x:c>
      <x:c r="P24" s="35" t="n">
        <x:v>4</x:v>
      </x:c>
      <x:c r="Q24" s="35" t="n">
        <x:v>1</x:v>
      </x:c>
      <x:c r="R24" s="35" t="str">
        <x:v>Keep hierarchy and capability edges separate; do not propagate every claim to subsidiaries.</x:v>
      </x:c>
    </x:row>
    <x:row r="25" ht="52" customHeight="1">
      <x:c r="A25" s="35" t="str">
        <x:v>CNSCA-A60A2291B2</x:v>
      </x:c>
      <x:c r="B25" s="35" t="str">
        <x:v>广州海格通信集团股份有限公司</x:v>
      </x:c>
      <x:c r="C25" s="35" t="str">
        <x:v>tactical_datalinks_and_BeiDou</x:v>
      </x:c>
      <x:c r="D25" s="35" t="str">
        <x:v>component_or_subsystem_supplier</x:v>
      </x:c>
      <x:c r="E25" s="35" t="str">
        <x:v>verified_supplier</x:v>
      </x:c>
      <x:c r="F25" s="35" t="str">
        <x:v>Yes</x:v>
      </x:c>
      <x:c r="G25" s="35" t="n">
        <x:v>3</x:v>
      </x:c>
      <x:c r="H25" s="35" t="n">
        <x:v>3</x:v>
      </x:c>
      <x:c r="I25" s="35" t="n">
        <x:v>2</x:v>
      </x:c>
      <x:c r="J25" s="35" t="str">
        <x:v>E3</x:v>
      </x:c>
      <x:c r="K25" s="35" t="str">
        <x:v>U3</x:v>
      </x:c>
      <x:c r="L25" s="35" t="n">
        <x:v>70</x:v>
      </x:c>
      <x:c r="M25" s="35" t="n">
        <x:v>60</x:v>
      </x:c>
      <x:c r="N25" s="35" t="n">
        <x:v>4</x:v>
      </x:c>
      <x:c r="O25" s="35" t="n">
        <x:v>3</x:v>
      </x:c>
      <x:c r="P25" s="35" t="n">
        <x:v>4</x:v>
      </x:c>
      <x:c r="Q25" s="35" t="n">
        <x:v>1</x:v>
      </x:c>
      <x:c r="R25" s="35" t="str">
        <x:v>Do not create a current PLA-award edge from the filing alone.</x:v>
      </x:c>
    </x:row>
    <x:row r="26" ht="52" customHeight="1">
      <x:c r="A26" s="35" t="str">
        <x:v>CNSCA-FAEE0AA83E</x:v>
      </x:c>
      <x:c r="B26" s="35" t="str">
        <x:v>成都天奥电子股份有限公司</x:v>
      </x:c>
      <x:c r="C26" s="35" t="str">
        <x:v>atomic_clocks_timing_and_BeiDou</x:v>
      </x:c>
      <x:c r="D26" s="35" t="str">
        <x:v>component_or_subsystem_supplier</x:v>
      </x:c>
      <x:c r="E26" s="35" t="str">
        <x:v>verified_supplier</x:v>
      </x:c>
      <x:c r="F26" s="35" t="str">
        <x:v>Yes</x:v>
      </x:c>
      <x:c r="G26" s="35" t="n">
        <x:v>3</x:v>
      </x:c>
      <x:c r="H26" s="35" t="n">
        <x:v>3</x:v>
      </x:c>
      <x:c r="I26" s="35" t="n">
        <x:v>2</x:v>
      </x:c>
      <x:c r="J26" s="35" t="str">
        <x:v>E3</x:v>
      </x:c>
      <x:c r="K26" s="35" t="str">
        <x:v>U3</x:v>
      </x:c>
      <x:c r="L26" s="35" t="n">
        <x:v>70</x:v>
      </x:c>
      <x:c r="M26" s="35" t="n">
        <x:v>60</x:v>
      </x:c>
      <x:c r="N26" s="35" t="n">
        <x:v>3</x:v>
      </x:c>
      <x:c r="O26" s="35" t="n">
        <x:v>3</x:v>
      </x:c>
      <x:c r="P26" s="35" t="n">
        <x:v>4</x:v>
      </x:c>
      <x:c r="Q26" s="35" t="n">
        <x:v>1</x:v>
      </x:c>
      <x:c r="R26" s="35" t="str">
        <x:v>Broad application evidence only.</x:v>
      </x:c>
    </x:row>
    <x:row r="27" ht="52" customHeight="1">
      <x:c r="A27" s="35" t="str">
        <x:v>CNSCA-8FC0083F7A</x:v>
      </x:c>
      <x:c r="B27" s="35" t="str">
        <x:v>科德数控股份有限公司</x:v>
      </x:c>
      <x:c r="C27" s="35" t="str">
        <x:v>CNC_controls_servo_drives_and_machine_tool_components</x:v>
      </x:c>
      <x:c r="D27" s="35" t="str">
        <x:v>production_enabler</x:v>
      </x:c>
      <x:c r="E27" s="35" t="str">
        <x:v>verified_production_enabler</x:v>
      </x:c>
      <x:c r="F27" s="35" t="str">
        <x:v>Yes</x:v>
      </x:c>
      <x:c r="G27" s="35" t="n">
        <x:v>3</x:v>
      </x:c>
      <x:c r="H27" s="35" t="n">
        <x:v>3</x:v>
      </x:c>
      <x:c r="I27" s="35" t="n">
        <x:v>2</x:v>
      </x:c>
      <x:c r="J27" s="35" t="str">
        <x:v>E3</x:v>
      </x:c>
      <x:c r="K27" s="35" t="str">
        <x:v>U3</x:v>
      </x:c>
      <x:c r="L27" s="35" t="n">
        <x:v>70</x:v>
      </x:c>
      <x:c r="M27" s="35" t="n">
        <x:v>60</x:v>
      </x:c>
      <x:c r="N27" s="35" t="n">
        <x:v>3</x:v>
      </x:c>
      <x:c r="O27" s="35" t="n">
        <x:v>3</x:v>
      </x:c>
      <x:c r="P27" s="35" t="n">
        <x:v>4</x:v>
      </x:c>
      <x:c r="Q27" s="35" t="n">
        <x:v>1</x:v>
      </x:c>
      <x:c r="R27" s="35" t="str">
        <x:v>Enabling production-equipment supplier, not a claimed weapon component.</x:v>
      </x:c>
    </x:row>
    <x:row r="28" ht="52" customHeight="1">
      <x:c r="A28" s="35" t="str">
        <x:v>CNSCA-F9D9FD0987</x:v>
      </x:c>
      <x:c r="B28" s="35" t="str">
        <x:v>西安西测测试技术股份有限公司</x:v>
      </x:c>
      <x:c r="C28" s="35" t="str">
        <x:v>environmental_reliability_EMC_and_component_screening</x:v>
      </x:c>
      <x:c r="D28" s="35" t="str">
        <x:v>production_enabler</x:v>
      </x:c>
      <x:c r="E28" s="35" t="str">
        <x:v>verified_production_enabler</x:v>
      </x:c>
      <x:c r="F28" s="35" t="str">
        <x:v>Yes</x:v>
      </x:c>
      <x:c r="G28" s="35" t="n">
        <x:v>3</x:v>
      </x:c>
      <x:c r="H28" s="35" t="n">
        <x:v>3</x:v>
      </x:c>
      <x:c r="I28" s="35" t="n">
        <x:v>2</x:v>
      </x:c>
      <x:c r="J28" s="35" t="str">
        <x:v>E3</x:v>
      </x:c>
      <x:c r="K28" s="35" t="str">
        <x:v>U3</x:v>
      </x:c>
      <x:c r="L28" s="35" t="n">
        <x:v>70</x:v>
      </x:c>
      <x:c r="M28" s="35" t="n">
        <x:v>60</x:v>
      </x:c>
      <x:c r="N28" s="35" t="n">
        <x:v>3</x:v>
      </x:c>
      <x:c r="O28" s="35" t="n">
        <x:v>3</x:v>
      </x:c>
      <x:c r="P28" s="35" t="n">
        <x:v>4</x:v>
      </x:c>
      <x:c r="Q28" s="35" t="n">
        <x:v>1</x:v>
      </x:c>
      <x:c r="R28" s="35" t="str">
        <x:v>Qualification/service evidence, not a completed weapon-component supply claim.</x:v>
      </x:c>
    </x:row>
    <x:row r="29" ht="52" customHeight="1">
      <x:c r="A29" s="35" t="str">
        <x:v>CNSCA-C250E60D20</x:v>
      </x:c>
      <x:c r="B29" s="35" t="str">
        <x:v>广东熙瑞智能科技有限公司</x:v>
      </x:c>
      <x:c r="C29" s="35" t="str">
        <x:v>robotic_grinding_and_shipyard_production_automation</x:v>
      </x:c>
      <x:c r="D29" s="35" t="str">
        <x:v>production_enabler</x:v>
      </x:c>
      <x:c r="E29" s="35" t="str">
        <x:v>verified_production_enabler</x:v>
      </x:c>
      <x:c r="F29" s="35" t="str">
        <x:v>Yes</x:v>
      </x:c>
      <x:c r="G29" s="35" t="n">
        <x:v>2</x:v>
      </x:c>
      <x:c r="H29" s="35" t="n">
        <x:v>3</x:v>
      </x:c>
      <x:c r="I29" s="35" t="n">
        <x:v>1</x:v>
      </x:c>
      <x:c r="J29" s="35" t="str">
        <x:v>E4</x:v>
      </x:c>
      <x:c r="K29" s="35" t="str">
        <x:v>U3</x:v>
      </x:c>
      <x:c r="L29" s="35" t="n">
        <x:v>54</x:v>
      </x:c>
      <x:c r="M29" s="35" t="n">
        <x:v>54</x:v>
      </x:c>
      <x:c r="N29" s="35" t="n">
        <x:v>3</x:v>
      </x:c>
      <x:c r="O29" s="35" t="n">
        <x:v>3</x:v>
      </x:c>
      <x:c r="P29" s="35" t="n">
        <x:v>1</x:v>
      </x:c>
      <x:c r="Q29" s="35" t="n">
        <x:v>3</x:v>
      </x:c>
      <x:c r="R29" s="35" t="str">
        <x:v>This confirms supply of a production workstation to a CSSC shipyard; it does not prove supply of a weapon or unmanned-platform subsystem | Do not aggregate prices into company revenue; this is still a specific shipyard automation contract | Page does not state a publication date and company-profile claims are not an audited filing; do not use it for a time-series event</x:v>
      </x:c>
    </x:row>
    <x:row r="30" ht="52" customHeight="1">
      <x:c r="A30" s="35" t="str">
        <x:v>CNSCA-9E272B7B85</x:v>
      </x:c>
      <x:c r="B30" s="35" t="str">
        <x:v>北京星网宇达科技股份有限公司</x:v>
      </x:c>
      <x:c r="C30" s="35" t="str">
        <x:v>INS_EO_payloads_actuators_datalinks</x:v>
      </x:c>
      <x:c r="D30" s="35" t="str">
        <x:v>component_or_subsystem_supplier</x:v>
      </x:c>
      <x:c r="E30" s="35" t="str">
        <x:v>bounded_supplier_assessment</x:v>
      </x:c>
      <x:c r="F30" s="35" t="str">
        <x:v>No</x:v>
      </x:c>
      <x:c r="G30" s="35" t="n">
        <x:v>3</x:v>
      </x:c>
      <x:c r="H30" s="35" t="n">
        <x:v>4</x:v>
      </x:c>
      <x:c r="I30" s="35" t="n">
        <x:v>3</x:v>
      </x:c>
      <x:c r="J30" s="35" t="str">
        <x:v>E3</x:v>
      </x:c>
      <x:c r="K30" s="35" t="str">
        <x:v>U2</x:v>
      </x:c>
      <x:c r="L30" s="35" t="n">
        <x:v>74</x:v>
      </x:c>
      <x:c r="M30" s="35" t="n">
        <x:v>63</x:v>
      </x:c>
      <x:c r="N30" s="35" t="n">
        <x:v>4</x:v>
      </x:c>
      <x:c r="O30" s="35" t="n">
        <x:v>4</x:v>
      </x:c>
      <x:c r="P30" s="35" t="n">
        <x:v>4</x:v>
      </x:c>
      <x:c r="Q30" s="35" t="n">
        <x:v>2</x:v>
      </x:c>
      <x:c r="R30" s="35" t="str">
        <x:v>Issuer disclosure lacks named buyer quantity or exact component-to-program link. | Military procurement-qualification restrictions reduced 2024 orders; do not treat platform relevance as proof of current military UAV supply.</x:v>
      </x:c>
    </x:row>
    <x:row r="31" ht="52" customHeight="1">
      <x:c r="A31" s="35" t="str">
        <x:v>CNSCA-C315E730A4</x:v>
      </x:c>
      <x:c r="B31" s="35" t="str">
        <x:v>北京富吉瑞光电科技股份有限公司</x:v>
      </x:c>
      <x:c r="C31" s="35" t="str">
        <x:v>cooled_IR_detector_packaging_cryocoolers_and_pointing_actuators</x:v>
      </x:c>
      <x:c r="D31" s="35" t="str">
        <x:v>component_or_subsystem_supplier</x:v>
      </x:c>
      <x:c r="E31" s="35" t="str">
        <x:v>bounded_supplier_assessment</x:v>
      </x:c>
      <x:c r="F31" s="35" t="str">
        <x:v>No</x:v>
      </x:c>
      <x:c r="G31" s="35" t="n">
        <x:v>3</x:v>
      </x:c>
      <x:c r="H31" s="35" t="n">
        <x:v>4</x:v>
      </x:c>
      <x:c r="I31" s="35" t="n">
        <x:v>2</x:v>
      </x:c>
      <x:c r="J31" s="35" t="str">
        <x:v>E3</x:v>
      </x:c>
      <x:c r="K31" s="35" t="str">
        <x:v>U2</x:v>
      </x:c>
      <x:c r="L31" s="35" t="n">
        <x:v>69</x:v>
      </x:c>
      <x:c r="M31" s="35" t="n">
        <x:v>59</x:v>
      </x:c>
      <x:c r="N31" s="35" t="n">
        <x:v>3</x:v>
      </x:c>
      <x:c r="O31" s="35" t="n">
        <x:v>4</x:v>
      </x:c>
      <x:c r="P31" s="35" t="n">
        <x:v>3</x:v>
      </x:c>
      <x:c r="Q31" s="35" t="n">
        <x:v>1</x:v>
      </x:c>
      <x:c r="R31" s="35" t="str">
        <x:v>New detector/cryocooler/actuator work is prototype or ground-test only; no on-orbit test/order/revenue.</x:v>
      </x:c>
    </x:row>
    <x:row r="32" ht="52" customHeight="1">
      <x:c r="A32" s="35" t="str">
        <x:v>CNSCA-2C00142CC5</x:v>
      </x:c>
      <x:c r="B32" s="35" t="str">
        <x:v>成都智明达电子股份有限公司</x:v>
      </x:c>
      <x:c r="C32" s="35" t="str">
        <x:v>rugged_embedded_compute_UAV_flight_and_CUAS</x:v>
      </x:c>
      <x:c r="D32" s="35" t="str">
        <x:v>counter_UAS_integrator</x:v>
      </x:c>
      <x:c r="E32" s="35" t="str">
        <x:v>bounded_supplier_assessment</x:v>
      </x:c>
      <x:c r="F32" s="35" t="str">
        <x:v>No</x:v>
      </x:c>
      <x:c r="G32" s="35" t="n">
        <x:v>3</x:v>
      </x:c>
      <x:c r="H32" s="35" t="n">
        <x:v>4</x:v>
      </x:c>
      <x:c r="I32" s="35" t="n">
        <x:v>2</x:v>
      </x:c>
      <x:c r="J32" s="35" t="str">
        <x:v>E3</x:v>
      </x:c>
      <x:c r="K32" s="35" t="str">
        <x:v>U2</x:v>
      </x:c>
      <x:c r="L32" s="35" t="n">
        <x:v>69</x:v>
      </x:c>
      <x:c r="M32" s="35" t="n">
        <x:v>59</x:v>
      </x:c>
      <x:c r="N32" s="35" t="n">
        <x:v>3</x:v>
      </x:c>
      <x:c r="O32" s="35" t="n">
        <x:v>4</x:v>
      </x:c>
      <x:c r="P32" s="35" t="n">
        <x:v>4</x:v>
      </x:c>
      <x:c r="Q32" s="35" t="n">
        <x:v>1</x:v>
      </x:c>
      <x:c r="R32" s="35" t="str">
        <x:v>Do not upgrade to military fielding without a buyer/program link.</x:v>
      </x:c>
    </x:row>
    <x:row r="33" ht="52" customHeight="1">
      <x:c r="A33" s="35" t="str">
        <x:v>CNSCA-4C8F5E8482</x:v>
      </x:c>
      <x:c r="B33" s="35" t="str">
        <x:v>深圳市科思科技股份有限公司</x:v>
      </x:c>
      <x:c r="C33" s="35" t="str">
        <x:v>UAV_swarm_mesh_and_mission_computing</x:v>
      </x:c>
      <x:c r="D33" s="35" t="str">
        <x:v>unmanned_systems_enabler</x:v>
      </x:c>
      <x:c r="E33" s="35" t="str">
        <x:v>bounded_supplier_assessment</x:v>
      </x:c>
      <x:c r="F33" s="35" t="str">
        <x:v>No</x:v>
      </x:c>
      <x:c r="G33" s="35" t="n">
        <x:v>3</x:v>
      </x:c>
      <x:c r="H33" s="35" t="n">
        <x:v>4</x:v>
      </x:c>
      <x:c r="I33" s="35" t="n">
        <x:v>2</x:v>
      </x:c>
      <x:c r="J33" s="35" t="str">
        <x:v>E3</x:v>
      </x:c>
      <x:c r="K33" s="35" t="str">
        <x:v>U2</x:v>
      </x:c>
      <x:c r="L33" s="35" t="n">
        <x:v>69</x:v>
      </x:c>
      <x:c r="M33" s="35" t="n">
        <x:v>59</x:v>
      </x:c>
      <x:c r="N33" s="35" t="n">
        <x:v>3</x:v>
      </x:c>
      <x:c r="O33" s="35" t="n">
        <x:v>4</x:v>
      </x:c>
      <x:c r="P33" s="35" t="n">
        <x:v>3</x:v>
      </x:c>
      <x:c r="Q33" s="35" t="n">
        <x:v>1</x:v>
      </x:c>
      <x:c r="R33" s="35" t="str">
        <x:v>High-innovation watch candidate only; do not add as established supplier.</x:v>
      </x:c>
    </x:row>
    <x:row r="34" ht="52" customHeight="1">
      <x:c r="A34" s="35" t="str">
        <x:v>CNSCA-5179725983</x:v>
      </x:c>
      <x:c r="B34" s="35" t="str">
        <x:v>湖北久之洋红外系统股份有限公司</x:v>
      </x:c>
      <x:c r="C34" s="35" t="str">
        <x:v>EO_IR_lasers_optics_and_star_trackers</x:v>
      </x:c>
      <x:c r="D34" s="35" t="str">
        <x:v>component_or_subsystem_supplier</x:v>
      </x:c>
      <x:c r="E34" s="35" t="str">
        <x:v>bounded_supplier_assessment</x:v>
      </x:c>
      <x:c r="F34" s="35" t="str">
        <x:v>No</x:v>
      </x:c>
      <x:c r="G34" s="35" t="n">
        <x:v>3</x:v>
      </x:c>
      <x:c r="H34" s="35" t="n">
        <x:v>4</x:v>
      </x:c>
      <x:c r="I34" s="35" t="n">
        <x:v>2</x:v>
      </x:c>
      <x:c r="J34" s="35" t="str">
        <x:v>E3</x:v>
      </x:c>
      <x:c r="K34" s="35" t="str">
        <x:v>U2</x:v>
      </x:c>
      <x:c r="L34" s="35" t="n">
        <x:v>69</x:v>
      </x:c>
      <x:c r="M34" s="35" t="n">
        <x:v>59</x:v>
      </x:c>
      <x:c r="N34" s="35" t="n">
        <x:v>3</x:v>
      </x:c>
      <x:c r="O34" s="35" t="n">
        <x:v>4</x:v>
      </x:c>
      <x:c r="P34" s="35" t="n">
        <x:v>4</x:v>
      </x:c>
      <x:c r="Q34" s="35" t="n">
        <x:v>1</x:v>
      </x:c>
      <x:c r="R34" s="35" t="str">
        <x:v>Defense-industrial/aerospace connection, not disclosed ultimate military end user or weapon platform.</x:v>
      </x:c>
    </x:row>
    <x:row r="35" ht="52" customHeight="1">
      <x:c r="A35" s="35" t="str">
        <x:v>CNSCA-2C1763D53F</x:v>
      </x:c>
      <x:c r="B35" s="35" t="str">
        <x:v>国科天成科技股份有限公司</x:v>
      </x:c>
      <x:c r="C35" s="35" t="str">
        <x:v>cooled_and_uncooled_IR_detectors</x:v>
      </x:c>
      <x:c r="D35" s="35" t="str">
        <x:v>component_or_subsystem_supplier</x:v>
      </x:c>
      <x:c r="E35" s="35" t="str">
        <x:v>bounded_supplier_assessment</x:v>
      </x:c>
      <x:c r="F35" s="35" t="str">
        <x:v>No</x:v>
      </x:c>
      <x:c r="G35" s="35" t="n">
        <x:v>3</x:v>
      </x:c>
      <x:c r="H35" s="35" t="n">
        <x:v>4</x:v>
      </x:c>
      <x:c r="I35" s="35" t="n">
        <x:v>2</x:v>
      </x:c>
      <x:c r="J35" s="35" t="str">
        <x:v>E2</x:v>
      </x:c>
      <x:c r="K35" s="35" t="str">
        <x:v>U4</x:v>
      </x:c>
      <x:c r="L35" s="35" t="n">
        <x:v>79</x:v>
      </x:c>
      <x:c r="M35" s="35" t="n">
        <x:v>55</x:v>
      </x:c>
      <x:c r="N35" s="35" t="n">
        <x:v>3</x:v>
      </x:c>
      <x:c r="O35" s="35" t="n">
        <x:v>4</x:v>
      </x:c>
      <x:c r="P35" s="35" t="n">
        <x:v>3</x:v>
      </x:c>
      <x:c r="Q35" s="35" t="n">
        <x:v>1</x:v>
      </x:c>
      <x:c r="R35" s="35" t="str">
        <x:v>Do not infer military customer from IR-sighting application.</x:v>
      </x:c>
    </x:row>
    <x:row r="36" ht="52" customHeight="1">
      <x:c r="A36" s="35" t="str">
        <x:v>CNSCA-CE7C7723D4</x:v>
      </x:c>
      <x:c r="B36" s="35" t="str">
        <x:v>长沙景嘉微电子股份有限公司</x:v>
      </x:c>
      <x:c r="C36" s="35" t="str">
        <x:v>high_reliability_GPU_and_radar_signal_processing</x:v>
      </x:c>
      <x:c r="D36" s="35" t="str">
        <x:v>production_enabler</x:v>
      </x:c>
      <x:c r="E36" s="35" t="str">
        <x:v>bounded_supplier_assessment</x:v>
      </x:c>
      <x:c r="F36" s="35" t="str">
        <x:v>No</x:v>
      </x:c>
      <x:c r="G36" s="35" t="n">
        <x:v>3</x:v>
      </x:c>
      <x:c r="H36" s="35" t="n">
        <x:v>4</x:v>
      </x:c>
      <x:c r="I36" s="35" t="n">
        <x:v>2</x:v>
      </x:c>
      <x:c r="J36" s="35" t="str">
        <x:v>E2</x:v>
      </x:c>
      <x:c r="K36" s="35" t="str">
        <x:v>U4</x:v>
      </x:c>
      <x:c r="L36" s="35" t="n">
        <x:v>79</x:v>
      </x:c>
      <x:c r="M36" s="35" t="n">
        <x:v>55</x:v>
      </x:c>
      <x:c r="N36" s="35" t="n">
        <x:v>3</x:v>
      </x:c>
      <x:c r="O36" s="35" t="n">
        <x:v>4</x:v>
      </x:c>
      <x:c r="P36" s="35" t="n">
        <x:v>4</x:v>
      </x:c>
      <x:c r="Q36" s="35" t="n">
        <x:v>1</x:v>
      </x:c>
      <x:c r="R36" s="35" t="str">
        <x:v>Fabless status alone is not a foreign-foundry/dependency claim.</x:v>
      </x:c>
    </x:row>
    <x:row r="37" ht="52" customHeight="1">
      <x:c r="A37" s="35" t="str">
        <x:v>CNSCA-53BD0A7C17</x:v>
      </x:c>
      <x:c r="B37" s="35" t="str">
        <x:v>中电科蓝天科技股份有限公司</x:v>
      </x:c>
      <x:c r="C37" s="35" t="str">
        <x:v>special_batteries_BMS_and_space_power</x:v>
      </x:c>
      <x:c r="D37" s="35" t="str">
        <x:v>component_or_subsystem_supplier</x:v>
      </x:c>
      <x:c r="E37" s="35" t="str">
        <x:v>bounded_supplier_assessment</x:v>
      </x:c>
      <x:c r="F37" s="35" t="str">
        <x:v>No</x:v>
      </x:c>
      <x:c r="G37" s="35" t="n">
        <x:v>3</x:v>
      </x:c>
      <x:c r="H37" s="35" t="n">
        <x:v>3</x:v>
      </x:c>
      <x:c r="I37" s="35" t="n">
        <x:v>2</x:v>
      </x:c>
      <x:c r="J37" s="35" t="str">
        <x:v>E3</x:v>
      </x:c>
      <x:c r="K37" s="35" t="str">
        <x:v>U2</x:v>
      </x:c>
      <x:c r="L37" s="35" t="n">
        <x:v>65</x:v>
      </x:c>
      <x:c r="M37" s="35" t="n">
        <x:v>55</x:v>
      </x:c>
      <x:c r="N37" s="35" t="n">
        <x:v>4</x:v>
      </x:c>
      <x:c r="O37" s="35" t="n">
        <x:v>3</x:v>
      </x:c>
      <x:c r="P37" s="35" t="n">
        <x:v>4</x:v>
      </x:c>
      <x:c r="Q37" s="35" t="n">
        <x:v>1</x:v>
      </x:c>
      <x:c r="R37" s="35" t="str">
        <x:v>Self-reported substitution claim needs an identified former foreign source before a dependency/substitution edge.</x:v>
      </x:c>
    </x:row>
    <x:row r="38" ht="52" customHeight="1">
      <x:c r="A38" s="35" t="str">
        <x:v>CNSCA-22CBBC4638</x:v>
      </x:c>
      <x:c r="B38" s="35" t="str">
        <x:v>上海瀚讯信息技术股份有限公司</x:v>
      </x:c>
      <x:c r="C38" s="35" t="str">
        <x:v>private_4G_5G_self_organizing_anti_jam_comms</x:v>
      </x:c>
      <x:c r="D38" s="35" t="str">
        <x:v>component_or_subsystem_supplier</x:v>
      </x:c>
      <x:c r="E38" s="35" t="str">
        <x:v>bounded_supplier_assessment</x:v>
      </x:c>
      <x:c r="F38" s="35" t="str">
        <x:v>No</x:v>
      </x:c>
      <x:c r="G38" s="35" t="n">
        <x:v>3</x:v>
      </x:c>
      <x:c r="H38" s="35" t="n">
        <x:v>3</x:v>
      </x:c>
      <x:c r="I38" s="35" t="n">
        <x:v>3</x:v>
      </x:c>
      <x:c r="J38" s="35" t="str">
        <x:v>E2</x:v>
      </x:c>
      <x:c r="K38" s="35" t="str">
        <x:v>U3</x:v>
      </x:c>
      <x:c r="L38" s="35" t="n">
        <x:v>75</x:v>
      </x:c>
      <x:c r="M38" s="35" t="n">
        <x:v>52</x:v>
      </x:c>
      <x:c r="N38" s="35" t="n">
        <x:v>3</x:v>
      </x:c>
      <x:c r="O38" s="35" t="n">
        <x:v>3</x:v>
      </x:c>
      <x:c r="P38" s="35" t="n">
        <x:v>4</x:v>
      </x:c>
      <x:c r="Q38" s="35" t="n">
        <x:v>1</x:v>
      </x:c>
      <x:c r="R38" s="35" t="str">
        <x:v>Gate military-supplier rank contribution on buyer/award/qualification link.</x:v>
      </x:c>
    </x:row>
    <x:row r="39" ht="52" customHeight="1">
      <x:c r="A39" s="35" t="str">
        <x:v>CNSCA-726B30FF05</x:v>
      </x:c>
      <x:c r="B39" s="35" t="str">
        <x:v>长春奥普光电技术股份有限公司</x:v>
      </x:c>
      <x:c r="C39" s="35" t="str">
        <x:v>low_light_EO_tracking_and_aiming</x:v>
      </x:c>
      <x:c r="D39" s="35" t="str">
        <x:v>component_or_subsystem_supplier</x:v>
      </x:c>
      <x:c r="E39" s="35" t="str">
        <x:v>bounded_supplier_assessment</x:v>
      </x:c>
      <x:c r="F39" s="35" t="str">
        <x:v>No</x:v>
      </x:c>
      <x:c r="G39" s="35" t="n">
        <x:v>3</x:v>
      </x:c>
      <x:c r="H39" s="35" t="n">
        <x:v>3</x:v>
      </x:c>
      <x:c r="I39" s="35" t="n">
        <x:v>2</x:v>
      </x:c>
      <x:c r="J39" s="35" t="str">
        <x:v>E2</x:v>
      </x:c>
      <x:c r="K39" s="35" t="str">
        <x:v>U3</x:v>
      </x:c>
      <x:c r="L39" s="35" t="n">
        <x:v>70</x:v>
      </x:c>
      <x:c r="M39" s="35" t="n">
        <x:v>49</x:v>
      </x:c>
      <x:c r="N39" s="35" t="n">
        <x:v>3</x:v>
      </x:c>
      <x:c r="O39" s="35" t="n">
        <x:v>3</x:v>
      </x:c>
      <x:c r="P39" s="35" t="n">
        <x:v>3</x:v>
      </x:c>
      <x:c r="Q39" s="35" t="n">
        <x:v>1</x:v>
      </x:c>
      <x:c r="R39" s="35" t="str">
        <x:v>Keep maturity moderate and do not claim weapon integration.</x:v>
      </x:c>
    </x:row>
    <x:row r="40" ht="52" customHeight="1">
      <x:c r="A40" s="35" t="str">
        <x:v>CNSCA-7363F2F98A</x:v>
      </x:c>
      <x:c r="B40" s="35" t="str">
        <x:v>北京新雷能科技股份有限公司</x:v>
      </x:c>
      <x:c r="C40" s="35" t="str">
        <x:v>rad_hard_power_motor_drive_and_UAV_motors</x:v>
      </x:c>
      <x:c r="D40" s="35" t="str">
        <x:v>unmanned_systems_enabler</x:v>
      </x:c>
      <x:c r="E40" s="35" t="str">
        <x:v>bounded_supplier_assessment</x:v>
      </x:c>
      <x:c r="F40" s="35" t="str">
        <x:v>No</x:v>
      </x:c>
      <x:c r="G40" s="35" t="n">
        <x:v>3</x:v>
      </x:c>
      <x:c r="H40" s="35" t="n">
        <x:v>4</x:v>
      </x:c>
      <x:c r="I40" s="35" t="n">
        <x:v>2</x:v>
      </x:c>
      <x:c r="J40" s="35" t="str">
        <x:v>E2</x:v>
      </x:c>
      <x:c r="K40" s="35" t="str">
        <x:v>U2</x:v>
      </x:c>
      <x:c r="L40" s="35" t="n">
        <x:v>69</x:v>
      </x:c>
      <x:c r="M40" s="35" t="n">
        <x:v>48</x:v>
      </x:c>
      <x:c r="N40" s="35" t="n">
        <x:v>3</x:v>
      </x:c>
      <x:c r="O40" s="35" t="n">
        <x:v>4</x:v>
      </x:c>
      <x:c r="P40" s="35" t="n">
        <x:v>3</x:v>
      </x:c>
      <x:c r="Q40" s="35" t="n">
        <x:v>1</x:v>
      </x:c>
      <x:c r="R40" s="35" t="str">
        <x:v>Keep commercial/dual-use until armed-equipment relationship is separately sourced.</x:v>
      </x:c>
    </x:row>
    <x:row r="41" ht="52" customHeight="1">
      <x:c r="A41" s="35" t="str">
        <x:v>CNSCA-E3A27AE0AB</x:v>
      </x:c>
      <x:c r="B41" s="35" t="str">
        <x:v>西安天和防务技术股份有限公司</x:v>
      </x:c>
      <x:c r="C41" s="35" t="str">
        <x:v>RF_ferrites_and_circulators</x:v>
      </x:c>
      <x:c r="D41" s="35" t="str">
        <x:v>component_or_subsystem_supplier</x:v>
      </x:c>
      <x:c r="E41" s="35" t="str">
        <x:v>bounded_supplier_assessment</x:v>
      </x:c>
      <x:c r="F41" s="35" t="str">
        <x:v>No</x:v>
      </x:c>
      <x:c r="G41" s="35" t="n">
        <x:v>2</x:v>
      </x:c>
      <x:c r="H41" s="35" t="n">
        <x:v>3</x:v>
      </x:c>
      <x:c r="I41" s="35" t="n">
        <x:v>2</x:v>
      </x:c>
      <x:c r="J41" s="35" t="str">
        <x:v>E2</x:v>
      </x:c>
      <x:c r="K41" s="35" t="str">
        <x:v>U4</x:v>
      </x:c>
      <x:c r="L41" s="35" t="n">
        <x:v>64</x:v>
      </x:c>
      <x:c r="M41" s="35" t="n">
        <x:v>45</x:v>
      </x:c>
      <x:c r="N41" s="35" t="n">
        <x:v>2</x:v>
      </x:c>
      <x:c r="O41" s="35" t="n">
        <x:v>3</x:v>
      </x:c>
      <x:c r="P41" s="35" t="n">
        <x:v>3</x:v>
      </x:c>
      <x:c r="Q41" s="35" t="n">
        <x:v>1</x:v>
      </x:c>
      <x:c r="R41" s="35" t="str">
        <x:v>Application statement is not a named military-customer relationship.</x:v>
      </x:c>
    </x:row>
    <x:row r="42" ht="52" customHeight="1">
      <x:c r="A42" s="35" t="str">
        <x:v>CNSCA-6016AB896F</x:v>
      </x:c>
      <x:c r="B42" s="35" t="str">
        <x:v>湖南超能机器人技术有限公司</x:v>
      </x:c>
      <x:c r="C42" s="35" t="str">
        <x:v>unmanned_platforms_swarming_and_mission_integration</x:v>
      </x:c>
      <x:c r="D42" s="35" t="str">
        <x:v>unmanned_systems_enabler</x:v>
      </x:c>
      <x:c r="E42" s="35" t="str">
        <x:v>provisional_watchlist</x:v>
      </x:c>
      <x:c r="F42" s="35" t="str">
        <x:v>No</x:v>
      </x:c>
      <x:c r="G42" s="35" t="n">
        <x:v>2</x:v>
      </x:c>
      <x:c r="H42" s="35" t="n">
        <x:v>3</x:v>
      </x:c>
      <x:c r="I42" s="35" t="n">
        <x:v>1</x:v>
      </x:c>
      <x:c r="J42" s="35" t="str">
        <x:v>E3</x:v>
      </x:c>
      <x:c r="K42" s="35" t="str">
        <x:v>U2</x:v>
      </x:c>
      <x:c r="L42" s="35" t="n">
        <x:v>49</x:v>
      </x:c>
      <x:c r="M42" s="35" t="n">
        <x:v>42</x:v>
      </x:c>
      <x:c r="N42" s="35" t="n">
        <x:v>2</x:v>
      </x:c>
      <x:c r="O42" s="35" t="n">
        <x:v>3</x:v>
      </x:c>
      <x:c r="P42" s="35" t="n">
        <x:v>1</x:v>
      </x:c>
      <x:c r="Q42" s="35" t="n">
        <x:v>1</x:v>
      </x:c>
      <x:c r="R42" s="35" t="str">
        <x:v>Statements of batch delivery and technical architecture are attributed to the firm in a government feature; no customer names or delivery volumes are given</x:v>
      </x:c>
    </x:row>
    <x:row r="43" ht="52" customHeight="1">
      <x:c r="A43" s="35" t="str">
        <x:v>CNSCA-D93423905C</x:v>
      </x:c>
      <x:c r="B43" s="35" t="str">
        <x:v>杭州景业智能科技股份有限公司</x:v>
      </x:c>
      <x:c r="C43" s="35" t="str">
        <x:v>special_robots_and_quadruped_support</x:v>
      </x:c>
      <x:c r="D43" s="35" t="str">
        <x:v>production_enabler</x:v>
      </x:c>
      <x:c r="E43" s="35" t="str">
        <x:v>bounded_supplier_assessment</x:v>
      </x:c>
      <x:c r="F43" s="35" t="str">
        <x:v>No</x:v>
      </x:c>
      <x:c r="G43" s="35" t="n">
        <x:v>2</x:v>
      </x:c>
      <x:c r="H43" s="35" t="n">
        <x:v>4</x:v>
      </x:c>
      <x:c r="I43" s="35" t="n">
        <x:v>2</x:v>
      </x:c>
      <x:c r="J43" s="35" t="str">
        <x:v>E2</x:v>
      </x:c>
      <x:c r="K43" s="35" t="str">
        <x:v>U2</x:v>
      </x:c>
      <x:c r="L43" s="35" t="n">
        <x:v>58</x:v>
      </x:c>
      <x:c r="M43" s="35" t="n">
        <x:v>41</x:v>
      </x:c>
      <x:c r="N43" s="35" t="n">
        <x:v>2</x:v>
      </x:c>
      <x:c r="O43" s="35" t="n">
        <x:v>4</x:v>
      </x:c>
      <x:c r="P43" s="35" t="n">
        <x:v>3</x:v>
      </x:c>
      <x:c r="Q43" s="35" t="n">
        <x:v>1</x:v>
      </x:c>
      <x:c r="R43" s="35" t="str">
        <x:v>Keep outside confirmed-supplier leaderboard absent relation-level award or program proof.</x:v>
      </x:c>
    </x:row>
    <x:row r="44" ht="52" customHeight="1">
      <x:c r="A44" s="35" t="str">
        <x:v>CNSCA-97170E9F4F</x:v>
      </x:c>
      <x:c r="B44" s="35" t="str">
        <x:v>西安爱科赛博电气股份有限公司</x:v>
      </x:c>
      <x:c r="C44" s="35" t="str">
        <x:v>aircraft_power_converters</x:v>
      </x:c>
      <x:c r="D44" s="35" t="str">
        <x:v>component_or_subsystem_supplier</x:v>
      </x:c>
      <x:c r="E44" s="35" t="str">
        <x:v>bounded_supplier_assessment</x:v>
      </x:c>
      <x:c r="F44" s="35" t="str">
        <x:v>No</x:v>
      </x:c>
      <x:c r="G44" s="35" t="n">
        <x:v>2</x:v>
      </x:c>
      <x:c r="H44" s="35" t="n">
        <x:v>4</x:v>
      </x:c>
      <x:c r="I44" s="35" t="n">
        <x:v>2</x:v>
      </x:c>
      <x:c r="J44" s="35" t="str">
        <x:v>E2</x:v>
      </x:c>
      <x:c r="K44" s="35" t="str">
        <x:v>U2</x:v>
      </x:c>
      <x:c r="L44" s="35" t="n">
        <x:v>58</x:v>
      </x:c>
      <x:c r="M44" s="35" t="n">
        <x:v>41</x:v>
      </x:c>
      <x:c r="N44" s="35" t="n">
        <x:v>2</x:v>
      </x:c>
      <x:c r="O44" s="35" t="n">
        <x:v>4</x:v>
      </x:c>
      <x:c r="P44" s="35" t="n">
        <x:v>3</x:v>
      </x:c>
      <x:c r="Q44" s="35" t="n">
        <x:v>1</x:v>
      </x:c>
      <x:c r="R44" s="35" t="str">
        <x:v>Technical watch node only.</x:v>
      </x:c>
    </x:row>
    <x:row r="45" ht="52" customHeight="1">
      <x:c r="A45" s="35" t="str">
        <x:v>CNSCA-02C1E2FE32</x:v>
      </x:c>
      <x:c r="B45" s="35" t="str">
        <x:v>芯联集成电路制造股份有限公司</x:v>
      </x:c>
      <x:c r="C45" s="35" t="str">
        <x:v>MEMS_IMU_lidar_driver_and_MCU_foundry_platform</x:v>
      </x:c>
      <x:c r="D45" s="35" t="str">
        <x:v>component_or_subsystem_supplier</x:v>
      </x:c>
      <x:c r="E45" s="35" t="str">
        <x:v>provisional_watchlist</x:v>
      </x:c>
      <x:c r="F45" s="35" t="str">
        <x:v>No</x:v>
      </x:c>
      <x:c r="G45" s="35" t="n">
        <x:v>1</x:v>
      </x:c>
      <x:c r="H45" s="35" t="n">
        <x:v>3</x:v>
      </x:c>
      <x:c r="I45" s="35" t="n">
        <x:v>1</x:v>
      </x:c>
      <x:c r="J45" s="35" t="str">
        <x:v>E3</x:v>
      </x:c>
      <x:c r="K45" s="35" t="str">
        <x:v>U4</x:v>
      </x:c>
      <x:c r="L45" s="35" t="n">
        <x:v>48</x:v>
      </x:c>
      <x:c r="M45" s="35" t="n">
        <x:v>41</x:v>
      </x:c>
      <x:c r="N45" s="35" t="n">
        <x:v>1</x:v>
      </x:c>
      <x:c r="O45" s="35" t="n">
        <x:v>3</x:v>
      </x:c>
      <x:c r="P45" s="35" t="n">
        <x:v>1</x:v>
      </x:c>
      <x:c r="Q45" s="35" t="n">
        <x:v>1</x:v>
      </x:c>
      <x:c r="R45" s="35" t="str">
        <x:v>No military buyer, defense program, or military end use is disclosed. It remains a commercial autonomy/robotics watch node, not a ranked defense supplier.</x:v>
      </x:c>
    </x:row>
    <x:row r="46" ht="52" customHeight="1">
      <x:c r="A46" s="35" t="str">
        <x:v>CNSCA-15EC4C0A8B</x:v>
      </x:c>
      <x:c r="B46" s="35" t="str">
        <x:v>中科空网（郑州）安全技术有限公司</x:v>
      </x:c>
      <x:c r="C46" s="35" t="str">
        <x:v>counter_UAS_detection_EW_and_control</x:v>
      </x:c>
      <x:c r="D46" s="35" t="str">
        <x:v>counter_UAS_integrator</x:v>
      </x:c>
      <x:c r="E46" s="35" t="str">
        <x:v>provisional_watchlist</x:v>
      </x:c>
      <x:c r="F46" s="35" t="str">
        <x:v>No</x:v>
      </x:c>
      <x:c r="G46" s="35" t="n">
        <x:v>2</x:v>
      </x:c>
      <x:c r="H46" s="35" t="n">
        <x:v>3</x:v>
      </x:c>
      <x:c r="I46" s="35" t="n">
        <x:v>1</x:v>
      </x:c>
      <x:c r="J46" s="35" t="str">
        <x:v>E2</x:v>
      </x:c>
      <x:c r="K46" s="35" t="str">
        <x:v>U2</x:v>
      </x:c>
      <x:c r="L46" s="35" t="n">
        <x:v>49</x:v>
      </x:c>
      <x:c r="M46" s="35" t="n">
        <x:v>34</x:v>
      </x:c>
      <x:c r="N46" s="35" t="n">
        <x:v>2</x:v>
      </x:c>
      <x:c r="O46" s="35" t="n">
        <x:v>3</x:v>
      </x:c>
      <x:c r="P46" s="35" t="n">
        <x:v>1</x:v>
      </x:c>
      <x:c r="Q46" s="35" t="n">
        <x:v>1</x:v>
      </x:c>
      <x:c r="R46" s="35" t="str">
        <x:v>Test certificate is not military procurement or proof of production volume; 21 of 26 firms were excellent so individual criticality must remain moderate</x:v>
      </x:c>
    </x:row>
    <x:row r="47" ht="52" customHeight="1">
      <x:c r="A47" s="35" t="str">
        <x:v>CNSCA-8872A59052</x:v>
      </x:c>
      <x:c r="B47" s="35" t="str">
        <x:v>北京博宏科元信息科技有限公司</x:v>
      </x:c>
      <x:c r="C47" s="35" t="str">
        <x:v>counter_UAS_detection_EW_and_control</x:v>
      </x:c>
      <x:c r="D47" s="35" t="str">
        <x:v>counter_UAS_integrator</x:v>
      </x:c>
      <x:c r="E47" s="35" t="str">
        <x:v>provisional_watchlist</x:v>
      </x:c>
      <x:c r="F47" s="35" t="str">
        <x:v>No</x:v>
      </x:c>
      <x:c r="G47" s="35" t="n">
        <x:v>2</x:v>
      </x:c>
      <x:c r="H47" s="35" t="n">
        <x:v>3</x:v>
      </x:c>
      <x:c r="I47" s="35" t="n">
        <x:v>1</x:v>
      </x:c>
      <x:c r="J47" s="35" t="str">
        <x:v>E2</x:v>
      </x:c>
      <x:c r="K47" s="35" t="str">
        <x:v>U2</x:v>
      </x:c>
      <x:c r="L47" s="35" t="n">
        <x:v>49</x:v>
      </x:c>
      <x:c r="M47" s="35" t="n">
        <x:v>34</x:v>
      </x:c>
      <x:c r="N47" s="35" t="n">
        <x:v>2</x:v>
      </x:c>
      <x:c r="O47" s="35" t="n">
        <x:v>3</x:v>
      </x:c>
      <x:c r="P47" s="35" t="n">
        <x:v>1</x:v>
      </x:c>
      <x:c r="Q47" s="35" t="n">
        <x:v>2</x:v>
      </x:c>
      <x:c r="R47" s="35" t="str">
        <x:v>The test result alone establishes neither actual customer nor in-house component manufacture | The statement provides neither a named defense customer nor independent production/acceptance evidence; team pedigree is not evidence of defense supply</x:v>
      </x:c>
    </x:row>
    <x:row r="48" ht="52" customHeight="1">
      <x:c r="A48" s="35" t="str">
        <x:v>CNSCA-C2FFDBE54E</x:v>
      </x:c>
      <x:c r="B48" s="35" t="str">
        <x:v>杭州星辰大海科技有限公司</x:v>
      </x:c>
      <x:c r="C48" s="35" t="str">
        <x:v>counter_UAS_detection_EW_and_control</x:v>
      </x:c>
      <x:c r="D48" s="35" t="str">
        <x:v>counter_UAS_integrator</x:v>
      </x:c>
      <x:c r="E48" s="35" t="str">
        <x:v>provisional_watchlist</x:v>
      </x:c>
      <x:c r="F48" s="35" t="str">
        <x:v>No</x:v>
      </x:c>
      <x:c r="G48" s="35" t="n">
        <x:v>2</x:v>
      </x:c>
      <x:c r="H48" s="35" t="n">
        <x:v>3</x:v>
      </x:c>
      <x:c r="I48" s="35" t="n">
        <x:v>1</x:v>
      </x:c>
      <x:c r="J48" s="35" t="str">
        <x:v>E2</x:v>
      </x:c>
      <x:c r="K48" s="35" t="str">
        <x:v>U2</x:v>
      </x:c>
      <x:c r="L48" s="35" t="n">
        <x:v>49</x:v>
      </x:c>
      <x:c r="M48" s="35" t="n">
        <x:v>34</x:v>
      </x:c>
      <x:c r="N48" s="35" t="n">
        <x:v>2</x:v>
      </x:c>
      <x:c r="O48" s="35" t="n">
        <x:v>3</x:v>
      </x:c>
      <x:c r="P48" s="35" t="n">
        <x:v>1</x:v>
      </x:c>
      <x:c r="Q48" s="35" t="n">
        <x:v>2</x:v>
      </x:c>
      <x:c r="R48" s="35" t="str">
        <x:v>No ranking order or end-user acceptance is supplied; do not transform certificate into an award | All defense-work and IP assertions are company statements in a recruitment profile; no named contract customer or delivery is provided</x:v>
      </x:c>
    </x:row>
    <x:row r="49" ht="52" customHeight="1">
      <x:c r="A49" s="35" t="str">
        <x:v>CNSCA-1FF4B58E53</x:v>
      </x:c>
      <x:c r="B49" s="35" t="str">
        <x:v>西安宇航者创新科技有限公司</x:v>
      </x:c>
      <x:c r="C49" s="35" t="str">
        <x:v>unmanned_platforms_swarming_and_mission_integration</x:v>
      </x:c>
      <x:c r="D49" s="35" t="str">
        <x:v>unmanned_systems_enabler</x:v>
      </x:c>
      <x:c r="E49" s="35" t="str">
        <x:v>provisional_watchlist</x:v>
      </x:c>
      <x:c r="F49" s="35" t="str">
        <x:v>No</x:v>
      </x:c>
      <x:c r="G49" s="35" t="n">
        <x:v>2</x:v>
      </x:c>
      <x:c r="H49" s="35" t="n">
        <x:v>2</x:v>
      </x:c>
      <x:c r="I49" s="35" t="n">
        <x:v>1</x:v>
      </x:c>
      <x:c r="J49" s="35" t="str">
        <x:v>E3</x:v>
      </x:c>
      <x:c r="K49" s="35" t="str">
        <x:v>U1</x:v>
      </x:c>
      <x:c r="L49" s="35" t="n">
        <x:v>40</x:v>
      </x:c>
      <x:c r="M49" s="35" t="n">
        <x:v>34</x:v>
      </x:c>
      <x:c r="N49" s="35" t="n">
        <x:v>2</x:v>
      </x:c>
      <x:c r="O49" s="35" t="n">
        <x:v>2</x:v>
      </x:c>
      <x:c r="P49" s="35" t="n">
        <x:v>1</x:v>
      </x:c>
      <x:c r="Q49" s="35" t="n">
        <x:v>2</x:v>
      </x:c>
      <x:c r="R49" s="35" t="str">
        <x:v>Intended sole source is not a completed transaction and public security does not establish military supply | No source here identifies the supplied parts or proves original manufacturing; likely service/integration role must remain unresolved</x:v>
      </x:c>
    </x:row>
    <x:row r="50" ht="52" customHeight="1">
      <x:c r="A50" s="35" t="str">
        <x:v>CNSCA-7B62A45AEF</x:v>
      </x:c>
      <x:c r="B50" s="35" t="str">
        <x:v>中科空网（郑州）安全技术有限公司</x:v>
      </x:c>
      <x:c r="C50" s="35" t="str">
        <x:v>unmanned_platforms_swarming_and_mission_integration</x:v>
      </x:c>
      <x:c r="D50" s="35" t="str">
        <x:v>unmanned_systems_enabler</x:v>
      </x:c>
      <x:c r="E50" s="35" t="str">
        <x:v>provisional_watchlist</x:v>
      </x:c>
      <x:c r="F50" s="35" t="str">
        <x:v>No</x:v>
      </x:c>
      <x:c r="G50" s="35" t="n">
        <x:v>2</x:v>
      </x:c>
      <x:c r="H50" s="35" t="n">
        <x:v>3</x:v>
      </x:c>
      <x:c r="I50" s="35" t="n">
        <x:v>1</x:v>
      </x:c>
      <x:c r="J50" s="35" t="str">
        <x:v>E2</x:v>
      </x:c>
      <x:c r="K50" s="35" t="str">
        <x:v>U1</x:v>
      </x:c>
      <x:c r="L50" s="35" t="n">
        <x:v>44</x:v>
      </x:c>
      <x:c r="M50" s="35" t="n">
        <x:v>31</x:v>
      </x:c>
      <x:c r="N50" s="35" t="n">
        <x:v>2</x:v>
      </x:c>
      <x:c r="O50" s="35" t="n">
        <x:v>3</x:v>
      </x:c>
      <x:c r="P50" s="35" t="n">
        <x:v>1</x:v>
      </x:c>
      <x:c r="Q50" s="35" t="n">
        <x:v>1</x:v>
      </x:c>
      <x:c r="R50" s="35" t="str">
        <x:v>Corporate origin and solution claims do not establish a defense contract production volume or unique technical advantage</x:v>
      </x:c>
    </x:row>
    <x:row r="51" ht="52" customHeight="1">
      <x:c r="A51" s="35" t="str">
        <x:v>CNSCA-11B1E004C9</x:v>
      </x:c>
      <x:c r="B51" s="35" t="str">
        <x:v>北京卓翼智能科技有限公司</x:v>
      </x:c>
      <x:c r="C51" s="35" t="str">
        <x:v>unmanned_platforms_swarming_and_mission_integration</x:v>
      </x:c>
      <x:c r="D51" s="35" t="str">
        <x:v>unmanned_systems_enabler</x:v>
      </x:c>
      <x:c r="E51" s="35" t="str">
        <x:v>provisional_watchlist</x:v>
      </x:c>
      <x:c r="F51" s="35" t="str">
        <x:v>No</x:v>
      </x:c>
      <x:c r="G51" s="35" t="n">
        <x:v>2</x:v>
      </x:c>
      <x:c r="H51" s="35" t="n">
        <x:v>3</x:v>
      </x:c>
      <x:c r="I51" s="35" t="n">
        <x:v>1</x:v>
      </x:c>
      <x:c r="J51" s="35" t="str">
        <x:v>E2</x:v>
      </x:c>
      <x:c r="K51" s="35" t="str">
        <x:v>U1</x:v>
      </x:c>
      <x:c r="L51" s="35" t="n">
        <x:v>44</x:v>
      </x:c>
      <x:c r="M51" s="35" t="n">
        <x:v>31</x:v>
      </x:c>
      <x:c r="N51" s="35" t="n">
        <x:v>3</x:v>
      </x:c>
      <x:c r="O51" s="35" t="n">
        <x:v>3</x:v>
      </x:c>
      <x:c r="P51" s="35" t="n">
        <x:v>1</x:v>
      </x:c>
      <x:c r="Q51" s="35" t="n">
        <x:v>2</x:v>
      </x:c>
      <x:c r="R51" s="35" t="str">
        <x:v>Corporate statement does not name a defense customer or independently demonstrate production volume | Candidate notice is not an executed award and does not name a buyer or end user; score must not assume delivery or military fielding</x:v>
      </x:c>
    </x:row>
    <x:row r="52" ht="52" customHeight="1">
      <x:c r="A52" s="35" t="str">
        <x:v>CNSCA-7E9F65D75E</x:v>
      </x:c>
      <x:c r="B52" s="35" t="str">
        <x:v>湖南超能机器人技术有限公司</x:v>
      </x:c>
      <x:c r="C52" s="35" t="str">
        <x:v>robotics_and_autonomy_integration</x:v>
      </x:c>
      <x:c r="D52" s="35" t="str">
        <x:v>production_enabler</x:v>
      </x:c>
      <x:c r="E52" s="35" t="str">
        <x:v>provisional_watchlist</x:v>
      </x:c>
      <x:c r="F52" s="35" t="str">
        <x:v>No</x:v>
      </x:c>
      <x:c r="G52" s="35" t="n">
        <x:v>2</x:v>
      </x:c>
      <x:c r="H52" s="35" t="n">
        <x:v>3</x:v>
      </x:c>
      <x:c r="I52" s="35" t="n">
        <x:v>1</x:v>
      </x:c>
      <x:c r="J52" s="35" t="str">
        <x:v>E2</x:v>
      </x:c>
      <x:c r="K52" s="35" t="str">
        <x:v>U1</x:v>
      </x:c>
      <x:c r="L52" s="35" t="n">
        <x:v>44</x:v>
      </x:c>
      <x:c r="M52" s="35" t="n">
        <x:v>31</x:v>
      </x:c>
      <x:c r="N52" s="35" t="n">
        <x:v>2</x:v>
      </x:c>
      <x:c r="O52" s="35" t="n">
        <x:v>3</x:v>
      </x:c>
      <x:c r="P52" s="35" t="n">
        <x:v>1</x:v>
      </x:c>
      <x:c r="Q52" s="35" t="n">
        <x:v>1</x:v>
      </x:c>
      <x:c r="R52" s="35" t="str">
        <x:v>The page explicitly calls the outcome pre-award; it is not proof of a final contract delivery or operational deployment</x:v>
      </x:c>
    </x:row>
    <x:row r="53" ht="52" customHeight="1">
      <x:c r="A53" s="35" t="str">
        <x:v>CNSCA-FD01C5C931</x:v>
      </x:c>
      <x:c r="B53" s="35" t="str">
        <x:v>南京山峦安全技术有限公司</x:v>
      </x:c>
      <x:c r="C53" s="35" t="str">
        <x:v>counter_UAS_detection_EW_and_control</x:v>
      </x:c>
      <x:c r="D53" s="35" t="str">
        <x:v>counter_UAS_integrator</x:v>
      </x:c>
      <x:c r="E53" s="35" t="str">
        <x:v>provisional_watchlist</x:v>
      </x:c>
      <x:c r="F53" s="35" t="str">
        <x:v>No</x:v>
      </x:c>
      <x:c r="G53" s="35" t="n">
        <x:v>2</x:v>
      </x:c>
      <x:c r="H53" s="35" t="n">
        <x:v>2</x:v>
      </x:c>
      <x:c r="I53" s="35" t="n">
        <x:v>1</x:v>
      </x:c>
      <x:c r="J53" s="35" t="str">
        <x:v>E2</x:v>
      </x:c>
      <x:c r="K53" s="35" t="str">
        <x:v>U1</x:v>
      </x:c>
      <x:c r="L53" s="35" t="n">
        <x:v>40</x:v>
      </x:c>
      <x:c r="M53" s="35" t="n">
        <x:v>28</x:v>
      </x:c>
      <x:c r="N53" s="35" t="n">
        <x:v>2</x:v>
      </x:c>
      <x:c r="O53" s="35" t="n">
        <x:v>2</x:v>
      </x:c>
      <x:c r="P53" s="35" t="n">
        <x:v>1</x:v>
      </x:c>
      <x:c r="Q53" s="35" t="n">
        <x:v>3</x:v>
      </x:c>
      <x:c r="R53" s="35" t="str">
        <x:v>Corporate catalogue does not establish in-house manufacture of every listed module or military acceptance; not a dated trend source | Reconcile the full-page award-language and exact posting date before assigning an award state; score ease of replacement high because the test market is crowded | This is explicit negative award evidence; do not record Nanjing Shanluan as the 2024 supplier</x:v>
      </x:c>
    </x:row>
    <x:row r="54" ht="52" customHeight="1">
      <x:c r="A54" s="35" t="str">
        <x:v>CNSCA-E005343236</x:v>
      </x:c>
      <x:c r="B54" s="35" t="str">
        <x:v>四川金朝电子工程有限公司</x:v>
      </x:c>
      <x:c r="C54" s="35" t="str">
        <x:v>counter_UAS_detection_EW_and_control</x:v>
      </x:c>
      <x:c r="D54" s="35" t="str">
        <x:v>counter_UAS_integrator</x:v>
      </x:c>
      <x:c r="E54" s="35" t="str">
        <x:v>provisional_watchlist</x:v>
      </x:c>
      <x:c r="F54" s="35" t="str">
        <x:v>No</x:v>
      </x:c>
      <x:c r="G54" s="35" t="n">
        <x:v>2</x:v>
      </x:c>
      <x:c r="H54" s="35" t="n">
        <x:v>2</x:v>
      </x:c>
      <x:c r="I54" s="35" t="n">
        <x:v>1</x:v>
      </x:c>
      <x:c r="J54" s="35" t="str">
        <x:v>E2</x:v>
      </x:c>
      <x:c r="K54" s="35" t="str">
        <x:v>U1</x:v>
      </x:c>
      <x:c r="L54" s="35" t="n">
        <x:v>40</x:v>
      </x:c>
      <x:c r="M54" s="35" t="n">
        <x:v>28</x:v>
      </x:c>
      <x:c r="N54" s="35" t="n">
        <x:v>2</x:v>
      </x:c>
      <x:c r="O54" s="35" t="n">
        <x:v>2</x:v>
      </x:c>
      <x:c r="P54" s="35" t="n">
        <x:v>1</x:v>
      </x:c>
      <x:c r="Q54" s="35" t="n">
        <x:v>1</x:v>
      </x:c>
      <x:c r="R54" s="35" t="str">
        <x:v>The notice names a supplier but does not identify the OEM or demonstrate that Jinchao designed the robot; do not treat it as a robot manufacturer</x:v>
      </x:c>
    </x:row>
    <x:row r="55" ht="52" customHeight="1">
      <x:c r="A55" s="35" t="str">
        <x:v>CNSCA-0A3F1DF560</x:v>
      </x:c>
      <x:c r="B55" s="35" t="str">
        <x:v>山东中科长天科技有限公司</x:v>
      </x:c>
      <x:c r="C55" s="35" t="str">
        <x:v>unmanned_platforms_swarming_and_mission_integration</x:v>
      </x:c>
      <x:c r="D55" s="35" t="str">
        <x:v>unmanned_systems_enabler</x:v>
      </x:c>
      <x:c r="E55" s="35" t="str">
        <x:v>provisional_watchlist</x:v>
      </x:c>
      <x:c r="F55" s="35" t="str">
        <x:v>No</x:v>
      </x:c>
      <x:c r="G55" s="35" t="n">
        <x:v>2</x:v>
      </x:c>
      <x:c r="H55" s="35" t="n">
        <x:v>2</x:v>
      </x:c>
      <x:c r="I55" s="35" t="n">
        <x:v>1</x:v>
      </x:c>
      <x:c r="J55" s="35" t="str">
        <x:v>E2</x:v>
      </x:c>
      <x:c r="K55" s="35" t="str">
        <x:v>U1</x:v>
      </x:c>
      <x:c r="L55" s="35" t="n">
        <x:v>40</x:v>
      </x:c>
      <x:c r="M55" s="35" t="n">
        <x:v>28</x:v>
      </x:c>
      <x:c r="N55" s="35" t="n">
        <x:v>2</x:v>
      </x:c>
      <x:c r="O55" s="35" t="n">
        <x:v>2</x:v>
      </x:c>
      <x:c r="P55" s="35" t="n">
        <x:v>1</x:v>
      </x:c>
      <x:c r="Q55" s="35" t="n">
        <x:v>1</x:v>
      </x:c>
      <x:c r="R55" s="35" t="str">
        <x:v>Search index must be reconciled against full notice before inserting an award state; it does not demonstrate the supplier manufactured the named kit or controller</x:v>
      </x:c>
    </x:row>
    <x:row r="56" ht="52" customHeight="1">
      <x:c r="A56" s="35" t="str">
        <x:v>CNSCA-FE1DDC7512</x:v>
      </x:c>
      <x:c r="B56" s="35" t="str">
        <x:v>广东纳萨斯通信科技有限公司</x:v>
      </x:c>
      <x:c r="C56" s="35" t="str">
        <x:v>counter_UAS_detection_EW_and_control</x:v>
      </x:c>
      <x:c r="D56" s="35" t="str">
        <x:v>counter_UAS_integrator</x:v>
      </x:c>
      <x:c r="E56" s="35" t="str">
        <x:v>provisional_watchlist</x:v>
      </x:c>
      <x:c r="F56" s="35" t="str">
        <x:v>No</x:v>
      </x:c>
      <x:c r="G56" s="35" t="n">
        <x:v>2</x:v>
      </x:c>
      <x:c r="H56" s="35" t="n">
        <x:v>2</x:v>
      </x:c>
      <x:c r="I56" s="35" t="n">
        <x:v>1</x:v>
      </x:c>
      <x:c r="J56" s="35" t="str">
        <x:v>E2</x:v>
      </x:c>
      <x:c r="K56" s="35" t="str">
        <x:v>U1</x:v>
      </x:c>
      <x:c r="L56" s="35" t="n">
        <x:v>40</x:v>
      </x:c>
      <x:c r="M56" s="35" t="n">
        <x:v>28</x:v>
      </x:c>
      <x:c r="N56" s="35" t="n">
        <x:v>2</x:v>
      </x:c>
      <x:c r="O56" s="35" t="n">
        <x:v>2</x:v>
      </x:c>
      <x:c r="P56" s="35" t="n">
        <x:v>1</x:v>
      </x:c>
      <x:c r="Q56" s="35" t="n">
        <x:v>3</x:v>
      </x:c>
      <x:c r="R56" s="35" t="str">
        <x:v>Corporate product listing does not prove an awarded item was internally manufactured or delivered to a defense end user | Still not a final award or completed delivery; competitive field and shared-brand issue in the notice argue against high irreplaceability | Exact posting date needs direct page retrieval; page uses pre-award language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14614c679f04b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34" hidden="0" customWidth="1"/>
    <x:col min="5" max="5" width="13" hidden="0" customWidth="1"/>
    <x:col min="6" max="6" width="12" hidden="0" customWidth="1"/>
    <x:col min="7" max="7" width="20" hidden="0" customWidth="1"/>
    <x:col min="8" max="8" width="31" hidden="0" customWidth="1"/>
    <x:col min="9" max="9" width="11" hidden="0" customWidth="1"/>
    <x:col min="10" max="10" width="12" hidden="0" customWidth="1"/>
    <x:col min="11" max="11" width="16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70" hidden="0" customWidth="1"/>
    <x:col min="21" max="21" width="42" hidden="0" customWidth="1"/>
    <x:col min="22" max="22" width="66" hidden="0" customWidth="1"/>
    <x:col min="23" max="23" width="44" hidden="0" customWidth="1"/>
    <x:col min="24" max="24" width="62" hidden="0" customWidth="1"/>
  </x:cols>
  <x:sheetData>
    <x:row r="1" ht="32" customHeight="1">
      <x:c r="A1" s="3" t="str">
        <x:v>Atomic supplier-scorecard evidence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38" customHeight="1">
      <x:c r="A2" s="7" t="str">
        <x:v>Every scored assessment links here. Exact procurement state is preserved; candidate/pre-award notices do not become completed awards in this workbook.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</x:row>
    <x:row r="4" ht="34" customHeight="1">
      <x:c r="A4" s="11" t="str">
        <x:v>Evidence ID</x:v>
      </x:c>
      <x:c r="B4" s="11" t="str">
        <x:v>Assessment ID</x:v>
      </x:c>
      <x:c r="C4" s="11" t="str">
        <x:v>Supplier</x:v>
      </x:c>
      <x:c r="D4" s="11" t="str">
        <x:v>Capability</x:v>
      </x:c>
      <x:c r="E4" s="11" t="str">
        <x:v>Source record</x:v>
      </x:c>
      <x:c r="F4" s="11" t="str">
        <x:v>Date</x:v>
      </x:c>
      <x:c r="G4" s="11" t="str">
        <x:v>State</x:v>
      </x:c>
      <x:c r="H4" s="11" t="str">
        <x:v>Evidence status</x:v>
      </x:c>
      <x:c r="I4" s="11" t="str">
        <x:v>Confidence</x:v>
      </x:c>
      <x:c r="J4" s="11" t="str">
        <x:v>Raw maturity</x:v>
      </x:c>
      <x:c r="K4" s="11" t="str">
        <x:v>Normalized maturity</x:v>
      </x:c>
      <x:c r="L4" s="11" t="str">
        <x:v>Raw C</x:v>
      </x:c>
      <x:c r="M4" s="11" t="str">
        <x:v>Raw I</x:v>
      </x:c>
      <x:c r="N4" s="11" t="str">
        <x:v>Raw X</x:v>
      </x:c>
      <x:c r="O4" s="11" t="str">
        <x:v>Raw E</x:v>
      </x:c>
      <x:c r="P4" s="11" t="str">
        <x:v>C</x:v>
      </x:c>
      <x:c r="Q4" s="11" t="str">
        <x:v>I</x:v>
      </x:c>
      <x:c r="R4" s="11" t="str">
        <x:v>X</x:v>
      </x:c>
      <x:c r="S4" s="11" t="str">
        <x:v>E</x:v>
      </x:c>
      <x:c r="T4" s="11" t="str">
        <x:v>Claim</x:v>
      </x:c>
      <x:c r="U4" s="11" t="str">
        <x:v>Context</x:v>
      </x:c>
      <x:c r="V4" s="11" t="str">
        <x:v>Caveat</x:v>
      </x:c>
      <x:c r="W4" s="11" t="str">
        <x:v>Source title</x:v>
      </x:c>
      <x:c r="X4" s="11" t="str">
        <x:v>Source URL</x:v>
      </x:c>
    </x:row>
    <x:row r="5" ht="76" customHeight="1">
      <x:c r="A5" s="35" t="str">
        <x:v>CNSCE-07CA4D75B4</x:v>
      </x:c>
      <x:c r="B5" s="35" t="str">
        <x:v>CNSCA-7B62A45AEF</x:v>
      </x:c>
      <x:c r="C5" s="35" t="str">
        <x:v>中科空网（郑州）安全技术有限公司</x:v>
      </x:c>
      <x:c r="D5" s="35" t="str">
        <x:v>unmanned_platforms_swarming_and_mission_integration</x:v>
      </x:c>
      <x:c r="E5" s="35" t="str">
        <x:v>DRA-022</x:v>
      </x:c>
      <x:c r="F5" s="35" t="str">
        <x:v>undated (site retrieved 2026-08-31)</x:v>
      </x:c>
      <x:c r="G5" s="35" t="str">
        <x:v>preaward_or_nonfinal</x:v>
      </x:c>
      <x:c r="H5" s="35" t="str">
        <x:v>provisional_candidate_or_capability_signal</x:v>
      </x:c>
      <x:c r="I5" s="35" t="str">
        <x:v>Medium</x:v>
      </x:c>
      <x:c r="J5" s="35" t="str">
        <x:v>U1</x:v>
      </x:c>
      <x:c r="K5" s="35" t="str">
        <x:v>U1</x:v>
      </x:c>
      <x:c r="L5" s="35" t="n">
        <x:v>2</x:v>
      </x:c>
      <x:c r="M5" s="35" t="n">
        <x:v>3</x:v>
      </x:c>
      <x:c r="N5" s="35" t="n">
        <x:v>1</x:v>
      </x:c>
      <x:c r="O5" s="35" t="n">
        <x:v>2</x:v>
      </x:c>
      <x:c r="P5" s="35" t="n">
        <x:v>2</x:v>
      </x:c>
      <x:c r="Q5" s="35" t="n">
        <x:v>3</x:v>
      </x:c>
      <x:c r="R5" s="35" t="n">
        <x:v>1</x:v>
      </x:c>
      <x:c r="S5" s="35" t="n">
        <x:v>2</x:v>
      </x:c>
      <x:c r="T5" s="35" t="str">
        <x:v>Company says it was incubated by the Chinese Academy of Sciences Zhengzhou Microelectronics Research Institute and focuses on full-spectrum UAV control and industry-application solutions</x:v>
      </x:c>
      <x:c r="U5" s="35" t="str">
        <x:v>Low-altitude-security and UAV-management market</x:v>
      </x:c>
      <x:c r="V5" s="35" t="str">
        <x:v>Corporate origin and solution claims do not establish a defense contract production volume or unique technical advantage</x:v>
      </x:c>
      <x:c r="W5" s="35" t="str">
        <x:v>Zhongke Kongwang corporate homepage</x:v>
      </x:c>
      <x:c r="X5" s="35" t="str">
        <x:v>https://www.zkkwgs.com/</x:v>
      </x:c>
    </x:row>
    <x:row r="6" ht="76" customHeight="1">
      <x:c r="A6" s="35" t="str">
        <x:v>CNSCE-44006248D6</x:v>
      </x:c>
      <x:c r="B6" s="35" t="str">
        <x:v>CNSCA-8872A59052</x:v>
      </x:c>
      <x:c r="C6" s="35" t="str">
        <x:v>北京博宏科元信息科技有限公司</x:v>
      </x:c>
      <x:c r="D6" s="35" t="str">
        <x:v>counter_UAS_detection_EW_and_control</x:v>
      </x:c>
      <x:c r="E6" s="35" t="str">
        <x:v>DRA-021</x:v>
      </x:c>
      <x:c r="F6" s="35" t="str">
        <x:v>undated (site retrieved 2026-08-31)</x:v>
      </x:c>
      <x:c r="G6" s="35" t="str">
        <x:v>preaward_or_nonfinal</x:v>
      </x:c>
      <x:c r="H6" s="35" t="str">
        <x:v>provisional_candidate_or_capability_signal</x:v>
      </x:c>
      <x:c r="I6" s="35" t="str">
        <x:v>Medium</x:v>
      </x:c>
      <x:c r="J6" s="35" t="str">
        <x:v>U1</x:v>
      </x:c>
      <x:c r="K6" s="35" t="str">
        <x:v>U1</x:v>
      </x:c>
      <x:c r="L6" s="35" t="n">
        <x:v>2</x:v>
      </x:c>
      <x:c r="M6" s="35" t="n">
        <x:v>3</x:v>
      </x:c>
      <x:c r="N6" s="35" t="n">
        <x:v>1</x:v>
      </x:c>
      <x:c r="O6" s="35" t="n">
        <x:v>2</x:v>
      </x:c>
      <x:c r="P6" s="35" t="n">
        <x:v>2</x:v>
      </x:c>
      <x:c r="Q6" s="35" t="n">
        <x:v>3</x:v>
      </x:c>
      <x:c r="R6" s="35" t="n">
        <x:v>1</x:v>
      </x:c>
      <x:c r="S6" s="35" t="n">
        <x:v>2</x:v>
      </x:c>
      <x:c r="T6" s="35" t="str">
        <x:v>Company states that it independently developed UAV detection and countermeasure as a core product line and describes a core R&amp;D team led by aerospace-and-defense-industry PhDs and masters</x:v>
      </x:c>
      <x:c r="U6" s="35" t="str">
        <x:v>Low-altitude-security and counter-UAS market</x:v>
      </x:c>
      <x:c r="V6" s="35" t="str">
        <x:v>The statement provides neither a named defense customer nor independent production/acceptance evidence; team pedigree is not evidence of defense supply</x:v>
      </x:c>
      <x:c r="W6" s="35" t="str">
        <x:v>Beijing Bohong Keyuan corporate homepage</x:v>
      </x:c>
      <x:c r="X6" s="35" t="str">
        <x:v>https://www.bhky.net.cn/</x:v>
      </x:c>
    </x:row>
    <x:row r="7" ht="76" customHeight="1">
      <x:c r="A7" s="35" t="str">
        <x:v>CNSCE-67746AB95F</x:v>
      </x:c>
      <x:c r="B7" s="35" t="str">
        <x:v>CNSCA-FD01C5C931</x:v>
      </x:c>
      <x:c r="C7" s="35" t="str">
        <x:v>南京山峦安全技术有限公司</x:v>
      </x:c>
      <x:c r="D7" s="35" t="str">
        <x:v>counter_UAS_detection_EW_and_control</x:v>
      </x:c>
      <x:c r="E7" s="35" t="str">
        <x:v>DRA-009</x:v>
      </x:c>
      <x:c r="F7" s="35" t="str">
        <x:v>undated (site retrieved 2026-08-31)</x:v>
      </x:c>
      <x:c r="G7" s="35" t="str">
        <x:v>preaward_or_nonfinal</x:v>
      </x:c>
      <x:c r="H7" s="35" t="str">
        <x:v>provisional_candidate_or_capability_signal</x:v>
      </x:c>
      <x:c r="I7" s="35" t="str">
        <x:v>Medium</x:v>
      </x:c>
      <x:c r="J7" s="35" t="str">
        <x:v>U1</x:v>
      </x:c>
      <x:c r="K7" s="35" t="str">
        <x:v>U1</x:v>
      </x:c>
      <x:c r="L7" s="35" t="n">
        <x:v>2</x:v>
      </x:c>
      <x:c r="M7" s="35" t="n">
        <x:v>2</x:v>
      </x:c>
      <x:c r="N7" s="35" t="n">
        <x:v>1</x:v>
      </x:c>
      <x:c r="O7" s="35" t="n">
        <x:v>2</x:v>
      </x:c>
      <x:c r="P7" s="35" t="n">
        <x:v>2</x:v>
      </x:c>
      <x:c r="Q7" s="35" t="n">
        <x:v>2</x:v>
      </x:c>
      <x:c r="R7" s="35" t="n">
        <x:v>1</x:v>
      </x:c>
      <x:c r="S7" s="35" t="n">
        <x:v>2</x:v>
      </x:c>
      <x:c r="T7" s="35" t="str">
        <x:v>Product page lists the named modules and a portable UAS-system R&amp;D product under its UAV-countermeasure category</x:v>
      </x:c>
      <x:c r="U7" s="35" t="str">
        <x:v>Portable C-UAS and RF component stack</x:v>
      </x:c>
      <x:c r="V7" s="35" t="str">
        <x:v>Corporate catalogue does not establish in-house manufacture of every listed module or military acceptance; not a dated trend source</x:v>
      </x:c>
      <x:c r="W7" s="35" t="str">
        <x:v>Nanjing Shanluan UAV countermeasure product page</x:v>
      </x:c>
      <x:c r="X7" s="35" t="str">
        <x:v>https://www.njslaq.com/tagdetail/1699655190063484928.html</x:v>
      </x:c>
    </x:row>
    <x:row r="8" ht="76" customHeight="1">
      <x:c r="A8" s="35" t="str">
        <x:v>CNSCE-F6E66E99BD</x:v>
      </x:c>
      <x:c r="B8" s="35" t="str">
        <x:v>CNSCA-FE1DDC7512</x:v>
      </x:c>
      <x:c r="C8" s="35" t="str">
        <x:v>广东纳萨斯通信科技有限公司</x:v>
      </x:c>
      <x:c r="D8" s="35" t="str">
        <x:v>counter_UAS_detection_EW_and_control</x:v>
      </x:c>
      <x:c r="E8" s="35" t="str">
        <x:v>DRA-023</x:v>
      </x:c>
      <x:c r="F8" s="35" t="str">
        <x:v>undated (site retrieved 2026-08-31)</x:v>
      </x:c>
      <x:c r="G8" s="35" t="str">
        <x:v>preaward_or_nonfinal</x:v>
      </x:c>
      <x:c r="H8" s="35" t="str">
        <x:v>provisional_candidate_or_capability_signal</x:v>
      </x:c>
      <x:c r="I8" s="35" t="str">
        <x:v>Medium</x:v>
      </x:c>
      <x:c r="J8" s="35" t="str">
        <x:v>U1</x:v>
      </x:c>
      <x:c r="K8" s="35" t="str">
        <x:v>U1</x:v>
      </x:c>
      <x:c r="L8" s="35" t="n">
        <x:v>2</x:v>
      </x:c>
      <x:c r="M8" s="35" t="n">
        <x:v>2</x:v>
      </x:c>
      <x:c r="N8" s="35" t="n">
        <x:v>1</x:v>
      </x:c>
      <x:c r="O8" s="35" t="n">
        <x:v>2</x:v>
      </x:c>
      <x:c r="P8" s="35" t="n">
        <x:v>2</x:v>
      </x:c>
      <x:c r="Q8" s="35" t="n">
        <x:v>2</x:v>
      </x:c>
      <x:c r="R8" s="35" t="n">
        <x:v>1</x:v>
      </x:c>
      <x:c r="S8" s="35" t="n">
        <x:v>2</x:v>
      </x:c>
      <x:c r="T8" s="35" t="str">
        <x:v>Company homepage lists signal-detection/rescue UAVs and spectrum-monitoring UAVs alongside communications software and systems-integration activity</x:v>
      </x:c>
      <x:c r="U8" s="35" t="str">
        <x:v>Communications RF and UAV-service market</x:v>
      </x:c>
      <x:c r="V8" s="35" t="str">
        <x:v>Corporate product listing does not prove an awarded item was internally manufactured or delivered to a defense end user</x:v>
      </x:c>
      <x:c r="W8" s="35" t="str">
        <x:v>Guangdong Nasis corporate homepage</x:v>
      </x:c>
      <x:c r="X8" s="35" t="str">
        <x:v>https://www.donasas.com/</x:v>
      </x:c>
    </x:row>
    <x:row r="9" ht="76" customHeight="1">
      <x:c r="A9" s="35" t="str">
        <x:v>CNSCE-F9B6F5E83F</x:v>
      </x:c>
      <x:c r="B9" s="35" t="str">
        <x:v>CNSCA-11B1E004C9</x:v>
      </x:c>
      <x:c r="C9" s="35" t="str">
        <x:v>北京卓翼智能科技有限公司</x:v>
      </x:c>
      <x:c r="D9" s="35" t="str">
        <x:v>unmanned_platforms_swarming_and_mission_integration</x:v>
      </x:c>
      <x:c r="E9" s="35" t="str">
        <x:v>DRA-005</x:v>
      </x:c>
      <x:c r="F9" s="35" t="str">
        <x:v>undated (site retrieved 2026-08-31)</x:v>
      </x:c>
      <x:c r="G9" s="35" t="str">
        <x:v>preaward_or_nonfinal</x:v>
      </x:c>
      <x:c r="H9" s="35" t="str">
        <x:v>provisional_candidate_or_capability_signal</x:v>
      </x:c>
      <x:c r="I9" s="35" t="str">
        <x:v>Medium</x:v>
      </x:c>
      <x:c r="J9" s="35" t="str">
        <x:v>U1</x:v>
      </x:c>
      <x:c r="K9" s="35" t="str">
        <x:v>U1</x:v>
      </x:c>
      <x:c r="L9" s="35" t="n">
        <x:v>3</x:v>
      </x:c>
      <x:c r="M9" s="35" t="n">
        <x:v>3</x:v>
      </x:c>
      <x:c r="N9" s="35" t="n">
        <x:v>1</x:v>
      </x:c>
      <x:c r="O9" s="35" t="n">
        <x:v>2</x:v>
      </x:c>
      <x:c r="P9" s="35" t="n">
        <x:v>2</x:v>
      </x:c>
      <x:c r="Q9" s="35" t="n">
        <x:v>3</x:v>
      </x:c>
      <x:c r="R9" s="35" t="n">
        <x:v>1</x:v>
      </x:c>
      <x:c r="S9" s="35" t="n">
        <x:v>2</x:v>
      </x:c>
      <x:c r="T9" s="35" t="str">
        <x:v>Company states it develops and produces intelligent unmanned systems and lists single-platform swarm-platform and simulation products with national-defense applications</x:v>
      </x:c>
      <x:c r="U9" s="35" t="str">
        <x:v>Company states applications include national-defense education-research emergency and fire use</x:v>
      </x:c>
      <x:c r="V9" s="35" t="str">
        <x:v>Corporate statement does not name a defense customer or independently demonstrate production volume</x:v>
      </x:c>
      <x:c r="W9" s="35" t="str">
        <x:v>Beijing Zhuoyi Intelligent corporate homepage</x:v>
      </x:c>
      <x:c r="X9" s="35" t="str">
        <x:v>https://www.droneyee.com/</x:v>
      </x:c>
    </x:row>
    <x:row r="10" ht="76" customHeight="1">
      <x:c r="A10" s="35" t="str">
        <x:v>CNSCE-26E9E44569</x:v>
      </x:c>
      <x:c r="B10" s="35" t="str">
        <x:v>CNSCA-C250E60D20</x:v>
      </x:c>
      <x:c r="C10" s="35" t="str">
        <x:v>广东熙瑞智能科技有限公司</x:v>
      </x:c>
      <x:c r="D10" s="35" t="str">
        <x:v>robotic_grinding_and_shipyard_production_automation</x:v>
      </x:c>
      <x:c r="E10" s="35" t="str">
        <x:v>DRA-003</x:v>
      </x:c>
      <x:c r="F10" s="35" t="str">
        <x:v>undated (page retrieved 2026-08-31)</x:v>
      </x:c>
      <x:c r="G10" s="35" t="str">
        <x:v>preaward_or_nonfinal</x:v>
      </x:c>
      <x:c r="H10" s="35" t="str">
        <x:v>provisional_candidate_or_capability_signal</x:v>
      </x:c>
      <x:c r="I10" s="35" t="str">
        <x:v>Medium-High</x:v>
      </x:c>
      <x:c r="J10" s="35" t="str">
        <x:v>U1</x:v>
      </x:c>
      <x:c r="K10" s="35" t="str">
        <x:v>U1</x:v>
      </x:c>
      <x:c r="L10" s="35" t="n">
        <x:v>3</x:v>
      </x:c>
      <x:c r="M10" s="35" t="n">
        <x:v>3</x:v>
      </x:c>
      <x:c r="N10" s="35" t="n">
        <x:v>1</x:v>
      </x:c>
      <x:c r="O10" s="35" t="n">
        <x:v>2</x:v>
      </x:c>
      <x:c r="P10" s="35" t="n">
        <x:v>2</x:v>
      </x:c>
      <x:c r="Q10" s="35" t="n">
        <x:v>3</x:v>
      </x:c>
      <x:c r="R10" s="35" t="n">
        <x:v>1</x:v>
      </x:c>
      <x:c r="S10" s="35" t="n">
        <x:v>2</x:v>
      </x:c>
      <x:c r="T10" s="35" t="str">
        <x:v>Profile says 9000 square metre integration base; 118 employees including 80 technical staff; 20 invention-patent applications; installed grinding workstations at CSSC Huangpu Wenchong and Dalian COSCO; annual output more than 20 intelligent grinding workstations</x:v>
      </x:c>
      <x:c r="U10" s="35" t="str">
        <x:v>Shipyard and ship-repair industrial customers</x:v>
      </x:c>
      <x:c r="V10" s="35" t="str">
        <x:v>Page does not state a publication date and company-profile claims are not an audited filing; do not use it for a time-series event</x:v>
      </x:c>
      <x:c r="W10" s="35" t="str">
        <x:v>China Association for Science and Technology organizational profile for Guangdong Xirui</x:v>
      </x:c>
      <x:c r="X10" s="35" t="str">
        <x:v>https://www.kczg.org.cn/org/orgdetail?id=356793</x:v>
      </x:c>
    </x:row>
    <x:row r="11" ht="76" customHeight="1">
      <x:c r="A11" s="35" t="str">
        <x:v>CNSCE-10A0828178</x:v>
      </x:c>
      <x:c r="B11" s="35" t="str">
        <x:v>CNSCA-6016AB896F</x:v>
      </x:c>
      <x:c r="C11" s="35" t="str">
        <x:v>湖南超能机器人技术有限公司</x:v>
      </x:c>
      <x:c r="D11" s="35" t="str">
        <x:v>unmanned_platforms_swarming_and_mission_integration</x:v>
      </x:c>
      <x:c r="E11" s="35" t="str">
        <x:v>DRA-007</x:v>
      </x:c>
      <x:c r="F11" s="35" t="str">
        <x:v>2026-08-31</x:v>
      </x:c>
      <x:c r="G11" s="35" t="str">
        <x:v>preaward_or_nonfinal</x:v>
      </x:c>
      <x:c r="H11" s="35" t="str">
        <x:v>provisional_candidate_or_capability_signal</x:v>
      </x:c>
      <x:c r="I11" s="35" t="str">
        <x:v>Medium-High</x:v>
      </x:c>
      <x:c r="J11" s="35" t="str">
        <x:v>U1</x:v>
      </x:c>
      <x:c r="K11" s="35" t="str">
        <x:v>U2</x:v>
      </x:c>
      <x:c r="L11" s="35" t="n">
        <x:v>2</x:v>
      </x:c>
      <x:c r="M11" s="35" t="n">
        <x:v>3</x:v>
      </x:c>
      <x:c r="N11" s="35" t="n">
        <x:v>1</x:v>
      </x:c>
      <x:c r="O11" s="35" t="n">
        <x:v>3</x:v>
      </x:c>
      <x:c r="P11" s="35" t="n">
        <x:v>2</x:v>
      </x:c>
      <x:c r="Q11" s="35" t="n">
        <x:v>3</x:v>
      </x:c>
      <x:c r="R11" s="35" t="n">
        <x:v>1</x:v>
      </x:c>
      <x:c r="S11" s="35" t="n">
        <x:v>3</x:v>
      </x:c>
      <x:c r="T11" s="35" t="str">
        <x:v>Government report attributes to the company a full-stack architecture from algorithms to hardware and describes a three-level system including a heterogeneous-swarm OS; it says wheeled-legged robot dogs have completed batch deliveries in multiple scenarios</x:v>
      </x:c>
      <x:c r="U11" s="35" t="str">
        <x:v>commercial and public-sector robotics context</x:v>
      </x:c>
      <x:c r="V11" s="35" t="str">
        <x:v>Statements of batch delivery and technical architecture are attributed to the firm in a government feature; no customer names or delivery volumes are given</x:v>
      </x:c>
      <x:c r="W11" s="35" t="str">
        <x:v>Hunan government feature on Chaoneng Robot</x:v>
      </x:c>
      <x:c r="X11" s="35" t="str">
        <x:v>https://www.hunan.gov.cn/hnszf/hnyw/sy/hnyw1/202608/t20260831_34052912.html</x:v>
      </x:c>
    </x:row>
    <x:row r="12" ht="76" customHeight="1">
      <x:c r="A12" s="35" t="str">
        <x:v>CNSCE-11D4B6A1E3</x:v>
      </x:c>
      <x:c r="B12" s="35" t="str">
        <x:v>CNSCA-7E9F65D75E</x:v>
      </x:c>
      <x:c r="C12" s="35" t="str">
        <x:v>湖南超能机器人技术有限公司</x:v>
      </x:c>
      <x:c r="D12" s="35" t="str">
        <x:v>robotics_and_autonomy_integration</x:v>
      </x:c>
      <x:c r="E12" s="35" t="str">
        <x:v>DRA-006</x:v>
      </x:c>
      <x:c r="F12" s="35" t="str">
        <x:v>2026-05-19</x:v>
      </x:c>
      <x:c r="G12" s="35" t="str">
        <x:v>preaward_or_nonfinal</x:v>
      </x:c>
      <x:c r="H12" s="35" t="str">
        <x:v>provisional_candidate_or_capability_signal</x:v>
      </x:c>
      <x:c r="I12" s="35" t="str">
        <x:v>High</x:v>
      </x:c>
      <x:c r="J12" s="35" t="str">
        <x:v>U1</x:v>
      </x:c>
      <x:c r="K12" s="35" t="str">
        <x:v>U1</x:v>
      </x:c>
      <x:c r="L12" s="35" t="n">
        <x:v>2</x:v>
      </x:c>
      <x:c r="M12" s="35" t="n">
        <x:v>3</x:v>
      </x:c>
      <x:c r="N12" s="35" t="n">
        <x:v>1</x:v>
      </x:c>
      <x:c r="O12" s="35" t="n">
        <x:v>2</x:v>
      </x:c>
      <x:c r="P12" s="35" t="n">
        <x:v>2</x:v>
      </x:c>
      <x:c r="Q12" s="35" t="n">
        <x:v>3</x:v>
      </x:c>
      <x:c r="R12" s="35" t="n">
        <x:v>1</x:v>
      </x:c>
      <x:c r="S12" s="35" t="n">
        <x:v>2</x:v>
      </x:c>
      <x:c r="T12" s="35" t="str">
        <x:v>Notice ranks Hunan Chaoneng first and identifies it as the pre-award supplier at RMB 440000</x:v>
      </x:c>
      <x:c r="U12" s="35" t="str">
        <x:v>2026-YKXTGC-W3001 intelligent robot-system R&amp;D and application equipment</x:v>
      </x:c>
      <x:c r="V12" s="35" t="str">
        <x:v>The page explicitly calls the outcome pre-award; it is not proof of a final contract delivery or operational deployment</x:v>
      </x:c>
      <x:c r="W12" s="35" t="str">
        <x:v>Intelligent robot-system R&amp;D and application-equipment result notice</x:v>
      </x:c>
      <x:c r="X12" s="35" t="str">
        <x:v>https://www.plap.mil.cn/freecms/site/juncai/ggxx/info/2026/8a1d02829e1f2e0a019e3f202afe5448.html</x:v>
      </x:c>
    </x:row>
    <x:row r="13" ht="76" customHeight="1">
      <x:c r="A13" s="35" t="str">
        <x:v>CNSCE-10ECD3BC2E</x:v>
      </x:c>
      <x:c r="B13" s="35" t="str">
        <x:v>CNSCA-C315E730A4</x:v>
      </x:c>
      <x:c r="C13" s="35" t="str">
        <x:v>北京富吉瑞光电科技股份有限公司</x:v>
      </x:c>
      <x:c r="D13" s="35" t="str">
        <x:v>cooled_IR_detector_packaging_cryocoolers_and_pointing_actuators</x:v>
      </x:c>
      <x:c r="E13" s="35" t="str">
        <x:v>COMP-025</x:v>
      </x:c>
      <x:c r="F13" s="35" t="str">
        <x:v>2026-04-29</x:v>
      </x:c>
      <x:c r="G13" s="35" t="str">
        <x:v>not_procurement</x:v>
      </x:c>
      <x:c r="H13" s="35" t="str">
        <x:v>documented_defense_industrial_role</x:v>
      </x:c>
      <x:c r="I13" s="35" t="str">
        <x:v>High</x:v>
      </x:c>
      <x:c r="J13" s="35" t="str">
        <x:v>U2</x:v>
      </x:c>
      <x:c r="K13" s="35" t="str">
        <x:v>U2</x:v>
      </x:c>
      <x:c r="L13" s="35" t="n">
        <x:v>3</x:v>
      </x:c>
      <x:c r="M13" s="35" t="n">
        <x:v>4</x:v>
      </x:c>
      <x:c r="N13" s="35" t="n">
        <x:v>3</x:v>
      </x:c>
      <x:c r="O13" s="35" t="n">
        <x:v>3</x:v>
      </x:c>
      <x:c r="P13" s="35" t="n">
        <x:v>3</x:v>
      </x:c>
      <x:c r="Q13" s="35" t="n">
        <x:v>4</x:v>
      </x:c>
      <x:c r="R13" s="35" t="n">
        <x:v>2</x:v>
      </x:c>
      <x:c r="S13" s="35" t="n">
        <x:v>3</x:v>
      </x:c>
      <x:c r="T13" s="35" t="str">
        <x:v>Specialist supplier to state defense primes in military IR; disclosed cooled-detector Dewar packaging/test and cryocooler prototypes plus ground-tested laser-communications coarse-pointing actuator.</x:v>
      </x:c>
      <x:c r="U13" s="35" t="str">
        <x:v>State defense primes unnamed</x:v>
      </x:c>
      <x:c r="V13" s="35" t="str">
        <x:v>New detector/cryocooler/actuator work is prototype or ground-test only; no on-orbit test/order/revenue.</x:v>
      </x:c>
      <x:c r="W13" s="35" t="str">
        <x:v>北京富吉瑞光电科技股份有限公司 — issuer_annual_report</x:v>
      </x:c>
      <x:c r="X13" s="35" t="str">
        <x:v>https://dataclouds.cninfo.com.cn/shgonggao/hsomarket/2026/20260429/6adcaca9c5534d379766de8c85cd385d.PDF</x:v>
      </x:c>
    </x:row>
    <x:row r="14" ht="76" customHeight="1">
      <x:c r="A14" s="35" t="str">
        <x:v>CNSCE-C97635C682</x:v>
      </x:c>
      <x:c r="B14" s="35" t="str">
        <x:v>CNSCA-A064C93AE6</x:v>
      </x:c>
      <x:c r="C14" s="35" t="str">
        <x:v>航天工业发展股份有限公司</x:v>
      </x:c>
      <x:c r="D14" s="35" t="str">
        <x:v>military_networks_C2_and_UAV_comms_nodes</x:v>
      </x:c>
      <x:c r="E14" s="35" t="str">
        <x:v>COMP-014</x:v>
      </x:c>
      <x:c r="F14" s="35" t="str">
        <x:v>2026-04-29</x:v>
      </x:c>
      <x:c r="G14" s="35" t="str">
        <x:v>not_procurement</x:v>
      </x:c>
      <x:c r="H14" s="35" t="str">
        <x:v>documented_military_role</x:v>
      </x:c>
      <x:c r="I14" s="35" t="str">
        <x:v>High</x:v>
      </x:c>
      <x:c r="J14" s="35" t="str">
        <x:v>U5</x:v>
      </x:c>
      <x:c r="K14" s="35" t="str">
        <x:v>U3</x:v>
      </x:c>
      <x:c r="L14" s="35" t="n">
        <x:v>4</x:v>
      </x:c>
      <x:c r="M14" s="35" t="n">
        <x:v>3</x:v>
      </x:c>
      <x:c r="N14" s="35" t="n">
        <x:v>4</x:v>
      </x:c>
      <x:c r="O14" s="35" t="n">
        <x:v>4</x:v>
      </x:c>
      <x:c r="P14" s="35" t="n">
        <x:v>3</x:v>
      </x:c>
      <x:c r="Q14" s="35" t="n">
        <x:v>3</x:v>
      </x:c>
      <x:c r="R14" s="35" t="n">
        <x:v>2</x:v>
      </x:c>
      <x:c r="S14" s="35" t="n">
        <x:v>4</x:v>
      </x:c>
      <x:c r="T14" s="35" t="str">
        <x:v>CASIC core communications-network unit; lists UAV communications nodes IP switches microwave relays network management and software; customers include troops state ministries and defense research institutes.</x:v>
      </x:c>
      <x:c r="U14" s="35" t="str">
        <x:v>Troops and institutes unnamed</x:v>
      </x:c>
      <x:c r="V14" s="35" t="str">
        <x:v>System integrator/prime rather than a pure component maker; exclude from under-the-radar component-only ranking.</x:v>
      </x:c>
      <x:c r="W14" s="35" t="str">
        <x:v>航天工业发展股份有限公司 — issuer_annual_report</x:v>
      </x:c>
      <x:c r="X14" s="35" t="str">
        <x:v>https://static.cninfo.com.cn/finalpage/2026-04-29/1225247825.PDF</x:v>
      </x:c>
    </x:row>
    <x:row r="15" ht="76" customHeight="1">
      <x:c r="A15" s="35" t="str">
        <x:v>CNSCE-3038034FCF</x:v>
      </x:c>
      <x:c r="B15" s="35" t="str">
        <x:v>CNSCA-F9D9FD0987</x:v>
      </x:c>
      <x:c r="C15" s="35" t="str">
        <x:v>西安西测测试技术股份有限公司</x:v>
      </x:c>
      <x:c r="D15" s="35" t="str">
        <x:v>environmental_reliability_EMC_and_component_screening</x:v>
      </x:c>
      <x:c r="E15" s="35" t="str">
        <x:v>COMP-022</x:v>
      </x:c>
      <x:c r="F15" s="35" t="str">
        <x:v>2026-04-28</x:v>
      </x:c>
      <x:c r="G15" s="35" t="str">
        <x:v>not_procurement</x:v>
      </x:c>
      <x:c r="H15" s="35" t="str">
        <x:v>documented_defense_industrial_role</x:v>
      </x:c>
      <x:c r="I15" s="35" t="str">
        <x:v>High</x:v>
      </x:c>
      <x:c r="J15" s="35" t="str">
        <x:v>U5</x:v>
      </x:c>
      <x:c r="K15" s="35" t="str">
        <x:v>U3</x:v>
      </x:c>
      <x:c r="L15" s="35" t="n">
        <x:v>3</x:v>
      </x:c>
      <x:c r="M15" s="35" t="n">
        <x:v>3</x:v>
      </x:c>
      <x:c r="N15" s="35" t="n">
        <x:v>4</x:v>
      </x:c>
      <x:c r="O15" s="35" t="n">
        <x:v>3</x:v>
      </x:c>
      <x:c r="P15" s="35" t="n">
        <x:v>3</x:v>
      </x:c>
      <x:c r="Q15" s="35" t="n">
        <x:v>3</x:v>
      </x:c>
      <x:c r="R15" s="35" t="n">
        <x:v>2</x:v>
      </x:c>
      <x:c r="S15" s="35" t="n">
        <x:v>3</x:v>
      </x:c>
      <x:c r="T15" s="35" t="str">
        <x:v>One-stop component screening electronics-assembly environmental/reliability and EMC test for defense/aerospace needs; holds CNAS CMA AS9100D NADCAP and COMAC qualifications.</x:v>
      </x:c>
      <x:c r="U15" s="35" t="str">
        <x:v>No named military contract in report</x:v>
      </x:c>
      <x:c r="V15" s="35" t="str">
        <x:v>Qualification/service evidence, not a completed weapon-component supply claim.</x:v>
      </x:c>
      <x:c r="W15" s="35" t="str">
        <x:v>西安西测测试技术股份有限公司 — issuer_annual_report</x:v>
      </x:c>
      <x:c r="X15" s="35" t="str">
        <x:v>https://static.cninfo.com.cn/finalpage/2026-04-28/1225217143.PDF</x:v>
      </x:c>
    </x:row>
    <x:row r="16" ht="76" customHeight="1">
      <x:c r="A16" s="35" t="str">
        <x:v>CNSCE-0318270C0B</x:v>
      </x:c>
      <x:c r="B16" s="35" t="str">
        <x:v>CNSCA-704D4D4A26</x:v>
      </x:c>
      <x:c r="C16" s="35" t="str">
        <x:v>南京高华科技股份有限公司</x:v>
      </x:c>
      <x:c r="D16" s="35" t="str">
        <x:v>MEMS_sensor_chips_and_condition_monitoring</x:v>
      </x:c>
      <x:c r="E16" s="35" t="str">
        <x:v>COMP-009</x:v>
      </x:c>
      <x:c r="F16" s="35" t="str">
        <x:v>2026-04-25</x:v>
      </x:c>
      <x:c r="G16" s="35" t="str">
        <x:v>not_procurement</x:v>
      </x:c>
      <x:c r="H16" s="35" t="str">
        <x:v>documented_military_role</x:v>
      </x:c>
      <x:c r="I16" s="35" t="str">
        <x:v>High</x:v>
      </x:c>
      <x:c r="J16" s="35" t="str">
        <x:v>U4</x:v>
      </x:c>
      <x:c r="K16" s="35" t="str">
        <x:v>U2</x:v>
      </x:c>
      <x:c r="L16" s="35" t="n">
        <x:v>4</x:v>
      </x:c>
      <x:c r="M16" s="35" t="n">
        <x:v>3</x:v>
      </x:c>
      <x:c r="N16" s="35" t="n">
        <x:v>3</x:v>
      </x:c>
      <x:c r="O16" s="35" t="n">
        <x:v>3</x:v>
      </x:c>
      <x:c r="P16" s="35" t="n">
        <x:v>3</x:v>
      </x:c>
      <x:c r="Q16" s="35" t="n">
        <x:v>3</x:v>
      </x:c>
      <x:c r="R16" s="35" t="n">
        <x:v>2</x:v>
      </x:c>
      <x:c r="S16" s="35" t="n">
        <x:v>3</x:v>
      </x:c>
      <x:c r="T16" s="35" t="str">
        <x:v>Military-plus-civilian strategy; strengthened core military-customer links and sensor-network applications to weapons/aerospace.</x:v>
      </x:c>
      <x:c r="U16" s="35" t="str">
        <x:v>Core military customers unnamed</x:v>
      </x:c>
      <x:c r="V16" s="35" t="str">
        <x:v>Keep technical and customer claims separate because no product/customer pairing is disclosed.</x:v>
      </x:c>
      <x:c r="W16" s="35" t="str">
        <x:v>南京高华科技股份有限公司 — issuer_annual_report</x:v>
      </x:c>
      <x:c r="X16" s="35" t="str">
        <x:v>https://static.cninfo.com.cn/finalpage/2026-04-25/1225182276.PDF</x:v>
      </x:c>
    </x:row>
    <x:row r="17" ht="76" customHeight="1">
      <x:c r="A17" s="35" t="str">
        <x:v>CNSCE-391BBC4DFC</x:v>
      </x:c>
      <x:c r="B17" s="35" t="str">
        <x:v>CNSCA-704D4D4A26</x:v>
      </x:c>
      <x:c r="C17" s="35" t="str">
        <x:v>南京高华科技股份有限公司</x:v>
      </x:c>
      <x:c r="D17" s="35" t="str">
        <x:v>MEMS_sensor_chips_and_condition_monitoring</x:v>
      </x:c>
      <x:c r="E17" s="35" t="str">
        <x:v>COMP-008</x:v>
      </x:c>
      <x:c r="F17" s="35" t="str">
        <x:v>2026-04-25</x:v>
      </x:c>
      <x:c r="G17" s="35" t="str">
        <x:v>not_procurement</x:v>
      </x:c>
      <x:c r="H17" s="35" t="str">
        <x:v>documented_military_technical</x:v>
      </x:c>
      <x:c r="I17" s="35" t="str">
        <x:v>High</x:v>
      </x:c>
      <x:c r="J17" s="35" t="str">
        <x:v>U5</x:v>
      </x:c>
      <x:c r="K17" s="35" t="str">
        <x:v>U4</x:v>
      </x:c>
      <x:c r="L17" s="35" t="n">
        <x:v>4</x:v>
      </x:c>
      <x:c r="M17" s="35" t="n">
        <x:v>3</x:v>
      </x:c>
      <x:c r="N17" s="35" t="n">
        <x:v>3</x:v>
      </x:c>
      <x:c r="O17" s="35" t="n">
        <x:v>4</x:v>
      </x:c>
      <x:c r="P17" s="35" t="n">
        <x:v>3</x:v>
      </x:c>
      <x:c r="Q17" s="35" t="n">
        <x:v>3</x:v>
      </x:c>
      <x:c r="R17" s="35" t="n">
        <x:v>2</x:v>
      </x:c>
      <x:c r="S17" s="35" t="n">
        <x:v>4</x:v>
      </x:c>
      <x:c r="T17" s="35" t="str">
        <x:v>Supports new-generation fighter transport and UAV models; MEMS sensor-chip subsidiary entered mass production and batch sales.</x:v>
      </x:c>
      <x:c r="U17" s="35" t="str">
        <x:v>Models unnamed</x:v>
      </x:c>
      <x:c r="V17" s="35" t="str">
        <x:v>No model quantity or named military customer.</x:v>
      </x:c>
      <x:c r="W17" s="35" t="str">
        <x:v>南京高华科技股份有限公司 — issuer_annual_report</x:v>
      </x:c>
      <x:c r="X17" s="35" t="str">
        <x:v>https://static.cninfo.com.cn/finalpage/2026-04-25/1225182440.PDF</x:v>
      </x:c>
    </x:row>
    <x:row r="18" ht="76" customHeight="1">
      <x:c r="A18" s="35" t="str">
        <x:v>CNSCE-8EB9FD5EE8</x:v>
      </x:c>
      <x:c r="B18" s="35" t="str">
        <x:v>CNSCA-53BD0A7C17</x:v>
      </x:c>
      <x:c r="C18" s="35" t="str">
        <x:v>中电科蓝天科技股份有限公司</x:v>
      </x:c>
      <x:c r="D18" s="35" t="str">
        <x:v>special_batteries_BMS_and_space_power</x:v>
      </x:c>
      <x:c r="E18" s="35" t="str">
        <x:v>COMP-016</x:v>
      </x:c>
      <x:c r="F18" s="35" t="str">
        <x:v>2026-04-23</x:v>
      </x:c>
      <x:c r="G18" s="35" t="str">
        <x:v>not_procurement</x:v>
      </x:c>
      <x:c r="H18" s="35" t="str">
        <x:v>documented_defense_technical</x:v>
      </x:c>
      <x:c r="I18" s="35" t="str">
        <x:v>High</x:v>
      </x:c>
      <x:c r="J18" s="35" t="str">
        <x:v>U4</x:v>
      </x:c>
      <x:c r="K18" s="35" t="str">
        <x:v>U2</x:v>
      </x:c>
      <x:c r="L18" s="35" t="n">
        <x:v>4</x:v>
      </x:c>
      <x:c r="M18" s="35" t="n">
        <x:v>3</x:v>
      </x:c>
      <x:c r="N18" s="35" t="n">
        <x:v>4</x:v>
      </x:c>
      <x:c r="O18" s="35" t="n">
        <x:v>3</x:v>
      </x:c>
      <x:c r="P18" s="35" t="n">
        <x:v>3</x:v>
      </x:c>
      <x:c r="Q18" s="35" t="n">
        <x:v>3</x:v>
      </x:c>
      <x:c r="R18" s="35" t="n">
        <x:v>2</x:v>
      </x:c>
      <x:c r="S18" s="35" t="n">
        <x:v>3</x:v>
      </x:c>
      <x:c r="T18" s="35" t="str">
        <x:v>Custom lithium battery BMS and power systems for portable equipment special vehicles and industrial equipment; says special power is core to defense intelligentization/unmanned upgrading and claims domestic substitution for imported products.</x:v>
      </x:c>
      <x:c r="U18" s="35" t="str">
        <x:v>No named PLA program or buyer</x:v>
      </x:c>
      <x:c r="V18" s="35" t="str">
        <x:v>Self-reported substitution claim needs an identified former foreign source before a dependency/substitution edge.</x:v>
      </x:c>
      <x:c r="W18" s="35" t="str">
        <x:v>中电科蓝天科技股份有限公司 — issuer_annual_report</x:v>
      </x:c>
      <x:c r="X18" s="35" t="str">
        <x:v>https://static.cninfo.com.cn/finalpage/2026-04-23/1225153647.PDF</x:v>
      </x:c>
    </x:row>
    <x:row r="19" ht="76" customHeight="1">
      <x:c r="A19" s="35" t="str">
        <x:v>CNSCE-E36D5401A1</x:v>
      </x:c>
      <x:c r="B19" s="35" t="str">
        <x:v>CNSCA-44C5B9481E</x:v>
      </x:c>
      <x:c r="C19" s="35" t="str">
        <x:v>成都天箭科技股份有限公司</x:v>
      </x:c>
      <x:c r="D19" s="35" t="str">
        <x:v>radar_seeker_transmitters_and_RF_frontends</x:v>
      </x:c>
      <x:c r="E19" s="35" t="str">
        <x:v>COMP-011</x:v>
      </x:c>
      <x:c r="F19" s="35" t="str">
        <x:v>2026-04-23</x:v>
      </x:c>
      <x:c r="G19" s="35" t="str">
        <x:v>not_procurement</x:v>
      </x:c>
      <x:c r="H19" s="35" t="str">
        <x:v>direct_military_technical</x:v>
      </x:c>
      <x:c r="I19" s="35" t="str">
        <x:v>High</x:v>
      </x:c>
      <x:c r="J19" s="35" t="str">
        <x:v>U4</x:v>
      </x:c>
      <x:c r="K19" s="35" t="str">
        <x:v>U2</x:v>
      </x:c>
      <x:c r="L19" s="35" t="n">
        <x:v>4</x:v>
      </x:c>
      <x:c r="M19" s="35" t="n">
        <x:v>4</x:v>
      </x:c>
      <x:c r="N19" s="35" t="n">
        <x:v>4</x:v>
      </x:c>
      <x:c r="O19" s="35" t="n">
        <x:v>4</x:v>
      </x:c>
      <x:c r="P19" s="35" t="n">
        <x:v>3</x:v>
      </x:c>
      <x:c r="Q19" s="35" t="n">
        <x:v>4</x:v>
      </x:c>
      <x:c r="R19" s="35" t="n">
        <x:v>2</x:v>
      </x:c>
      <x:c r="S19" s="35" t="n">
        <x:v>4</x:v>
      </x:c>
      <x:c r="T19" s="35" t="str">
        <x:v>Maintained high-band/high-power solid-state transmitter leadership; continued finalized-product production for weapon-equipment demand; advanced phased-array and microwave-front-end validation.</x:v>
      </x:c>
      <x:c r="U19" s="35" t="str">
        <x:v>No named weapon program</x:v>
      </x:c>
      <x:c r="V19" s="35" t="str">
        <x:v>2025 military price review caused RMB260.2m revenue adjustment; do not use revenue fall as a demand proxy.</x:v>
      </x:c>
      <x:c r="W19" s="35" t="str">
        <x:v>成都天箭科技股份有限公司 — issuer_annual_report</x:v>
      </x:c>
      <x:c r="X19" s="35" t="str">
        <x:v>https://static.cninfo.com.cn/finalpage/2026-04-23/1225156050.PDF</x:v>
      </x:c>
    </x:row>
    <x:row r="20" ht="76" customHeight="1">
      <x:c r="A20" s="35" t="str">
        <x:v>CNSCE-B00801E446</x:v>
      </x:c>
      <x:c r="B20" s="35" t="str">
        <x:v>CNSCA-97170E9F4F</x:v>
      </x:c>
      <x:c r="C20" s="35" t="str">
        <x:v>西安爱科赛博电气股份有限公司</x:v>
      </x:c>
      <x:c r="D20" s="35" t="str">
        <x:v>aircraft_power_converters</x:v>
      </x:c>
      <x:c r="E20" s="35" t="str">
        <x:v>COMP-030</x:v>
      </x:c>
      <x:c r="F20" s="35" t="str">
        <x:v>2026-04-22</x:v>
      </x:c>
      <x:c r="G20" s="35" t="str">
        <x:v>not_procurement</x:v>
      </x:c>
      <x:c r="H20" s="35" t="str">
        <x:v>engineering_development</x:v>
      </x:c>
      <x:c r="I20" s="35" t="str">
        <x:v>Medium</x:v>
      </x:c>
      <x:c r="J20" s="35" t="str">
        <x:v>U2</x:v>
      </x:c>
      <x:c r="K20" s="35" t="str">
        <x:v>U2</x:v>
      </x:c>
      <x:c r="L20" s="35" t="n">
        <x:v>2</x:v>
      </x:c>
      <x:c r="M20" s="35" t="n">
        <x:v>4</x:v>
      </x:c>
      <x:c r="N20" s="35" t="n">
        <x:v>3</x:v>
      </x:c>
      <x:c r="O20" s="35" t="n">
        <x:v>2</x:v>
      </x:c>
      <x:c r="P20" s="35" t="n">
        <x:v>2</x:v>
      </x:c>
      <x:c r="Q20" s="35" t="n">
        <x:v>4</x:v>
      </x:c>
      <x:c r="R20" s="35" t="n">
        <x:v>2</x:v>
      </x:c>
      <x:c r="S20" s="35" t="n">
        <x:v>2</x:v>
      </x:c>
      <x:c r="T20" s="35" t="str">
        <x:v>High-power-density aircraft power converter under development for large aircraft UAVs and electric aircraft.</x:v>
      </x:c>
      <x:c r="U20" s="35" t="str">
        <x:v>No defense nexus/customer</x:v>
      </x:c>
      <x:c r="V20" s="35" t="str">
        <x:v>Technical watch node only.</x:v>
      </x:c>
      <x:c r="W20" s="35" t="str">
        <x:v>西安爱科赛博电气股份有限公司 — issuer_interim_report</x:v>
      </x:c>
      <x:c r="X20" s="35" t="str">
        <x:v>https://static.cninfo.com.cn/finalpage/2026-04-22/1225138987.PDF</x:v>
      </x:c>
    </x:row>
    <x:row r="21" ht="76" customHeight="1">
      <x:c r="A21" s="35" t="str">
        <x:v>CNSCE-B9F6440EA9</x:v>
      </x:c>
      <x:c r="B21" s="35" t="str">
        <x:v>CNSCA-FBEEBE8091</x:v>
      </x:c>
      <x:c r="C21" s="35" t="str">
        <x:v>浙江臻镭科技股份有限公司</x:v>
      </x:c>
      <x:c r="D21" s="35" t="str">
        <x:v>RF_data_conversion_power_and_microsystems</x:v>
      </x:c>
      <x:c r="E21" s="35" t="str">
        <x:v>MAN-001</x:v>
      </x:c>
      <x:c r="F21" s="35" t="str">
        <x:v>2026-04-22</x:v>
      </x:c>
      <x:c r="G21" s="35" t="str">
        <x:v>not_procurement</x:v>
      </x:c>
      <x:c r="H21" s="35" t="str">
        <x:v>direct_military_technical</x:v>
      </x:c>
      <x:c r="I21" s="35" t="str">
        <x:v>High</x:v>
      </x:c>
      <x:c r="J21" s="35" t="str">
        <x:v>U4</x:v>
      </x:c>
      <x:c r="K21" s="35" t="str">
        <x:v>U4</x:v>
      </x:c>
      <x:c r="L21" s="35" t="n">
        <x:v>3</x:v>
      </x:c>
      <x:c r="M21" s="35" t="n">
        <x:v>3</x:v>
      </x:c>
      <x:c r="N21" s="35" t="n">
        <x:v>2</x:v>
      </x:c>
      <x:c r="O21" s="35" t="n">
        <x:v>4</x:v>
      </x:c>
      <x:c r="P21" s="35" t="n">
        <x:v>3</x:v>
      </x:c>
      <x:c r="Q21" s="35" t="n">
        <x:v>3</x:v>
      </x:c>
      <x:c r="R21" s="35" t="n">
        <x:v>2</x:v>
      </x:c>
      <x:c r="S21" s="35" t="n">
        <x:v>4</x:v>
      </x:c>
      <x:c r="T21" s="35" t="str">
        <x:v>The issuer says its core chips are batch-applied in multiple equipment models in special-industry fields, including data links, electronic countermeasures, phased-array communications and radar.</x:v>
      </x:c>
      <x:c r="U21" s="35" t="str">
        <x:v>data links, electronic warfare, radios, phased-array communications/radar, and power systems</x:v>
      </x:c>
      <x:c r="V21" s="35" t="str">
        <x:v>The filing does not name a program, customer, or exclusive position; cross-domain credit is capped at the directly described capability scope.</x:v>
      </x:c>
      <x:c r="W21" s="35" t="str">
        <x:v>Zhejiang Great Microwave Technology 2025 annual-report summary</x:v>
      </x:c>
      <x:c r="X21" s="35" t="str">
        <x:v>https://dataclouds.cninfo.com.cn/shgonggao/hsomarket/2026/20260422/1fcf6b9a126e4790b11dc2a273b4d8a7.PDF</x:v>
      </x:c>
    </x:row>
    <x:row r="22" ht="76" customHeight="1">
      <x:c r="A22" s="35" t="str">
        <x:v>CNSCE-30AC2B7772</x:v>
      </x:c>
      <x:c r="B22" s="35" t="str">
        <x:v>CNSCA-8FC0083F7A</x:v>
      </x:c>
      <x:c r="C22" s="35" t="str">
        <x:v>科德数控股份有限公司</x:v>
      </x:c>
      <x:c r="D22" s="35" t="str">
        <x:v>CNC_controls_servo_drives_and_machine_tool_components</x:v>
      </x:c>
      <x:c r="E22" s="35" t="str">
        <x:v>COMP-023</x:v>
      </x:c>
      <x:c r="F22" s="35" t="str">
        <x:v>2026-04-21</x:v>
      </x:c>
      <x:c r="G22" s="35" t="str">
        <x:v>not_procurement</x:v>
      </x:c>
      <x:c r="H22" s="35" t="str">
        <x:v>documented_production_enablement</x:v>
      </x:c>
      <x:c r="I22" s="35" t="str">
        <x:v>High</x:v>
      </x:c>
      <x:c r="J22" s="35" t="str">
        <x:v>U5</x:v>
      </x:c>
      <x:c r="K22" s="35" t="str">
        <x:v>U3</x:v>
      </x:c>
      <x:c r="L22" s="35" t="n">
        <x:v>3</x:v>
      </x:c>
      <x:c r="M22" s="35" t="n">
        <x:v>3</x:v>
      </x:c>
      <x:c r="N22" s="35" t="n">
        <x:v>4</x:v>
      </x:c>
      <x:c r="O22" s="35" t="n">
        <x:v>3</x:v>
      </x:c>
      <x:c r="P22" s="35" t="n">
        <x:v>3</x:v>
      </x:c>
      <x:c r="Q22" s="35" t="n">
        <x:v>3</x:v>
      </x:c>
      <x:c r="R22" s="35" t="n">
        <x:v>2</x:v>
      </x:c>
      <x:c r="S22" s="35" t="n">
        <x:v>3</x:v>
      </x:c>
      <x:c r="T22" s="35" t="str">
        <x:v>Independently develops CNC systems servo drives torque/servo/spindle motors encoders and sensors; says products serve aerospace space military shipbuilding and robots.</x:v>
      </x:c>
      <x:c r="U22" s="35" t="str">
        <x:v>No named defense buyer</x:v>
      </x:c>
      <x:c r="V22" s="35" t="str">
        <x:v>Enabling production-equipment supplier, not a claimed weapon component.</x:v>
      </x:c>
      <x:c r="W22" s="35" t="str">
        <x:v>科德数控股份有限公司 — issuer_annual_report</x:v>
      </x:c>
      <x:c r="X22" s="35" t="str">
        <x:v>https://static.cninfo.com.cn/finalpage/2026-04-21/1225129206.PDF</x:v>
      </x:c>
    </x:row>
    <x:row r="23" ht="76" customHeight="1">
      <x:c r="A23" s="35" t="str">
        <x:v>CNSCE-3D5C4F2072</x:v>
      </x:c>
      <x:c r="B23" s="35" t="str">
        <x:v>CNSCA-06C4F00FB5</x:v>
      </x:c>
      <x:c r="C23" s="35" t="str">
        <x:v>成都盟升电子技术股份有限公司</x:v>
      </x:c>
      <x:c r="D23" s="35" t="str">
        <x:v>tactical_navigation_datalinks_and_EW_terminals</x:v>
      </x:c>
      <x:c r="E23" s="35" t="str">
        <x:v>MAN-002</x:v>
      </x:c>
      <x:c r="F23" s="35" t="str">
        <x:v>2026-04-21</x:v>
      </x:c>
      <x:c r="G23" s="35" t="str">
        <x:v>not_procurement</x:v>
      </x:c>
      <x:c r="H23" s="35" t="str">
        <x:v>direct_military_technical</x:v>
      </x:c>
      <x:c r="I23" s="35" t="str">
        <x:v>High</x:v>
      </x:c>
      <x:c r="J23" s="35" t="str">
        <x:v>U4</x:v>
      </x:c>
      <x:c r="K23" s="35" t="str">
        <x:v>U4</x:v>
      </x:c>
      <x:c r="L23" s="35" t="n">
        <x:v>3</x:v>
      </x:c>
      <x:c r="M23" s="35" t="n">
        <x:v>3</x:v>
      </x:c>
      <x:c r="N23" s="35" t="n">
        <x:v>2</x:v>
      </x:c>
      <x:c r="O23" s="35" t="n">
        <x:v>4</x:v>
      </x:c>
      <x:c r="P23" s="35" t="n">
        <x:v>3</x:v>
      </x:c>
      <x:c r="Q23" s="35" t="n">
        <x:v>3</x:v>
      </x:c>
      <x:c r="R23" s="35" t="n">
        <x:v>2</x:v>
      </x:c>
      <x:c r="S23" s="35" t="n">
        <x:v>4</x:v>
      </x:c>
      <x:c r="T23" s="35" t="str">
        <x:v>The issuer describes navigation products mainly used in national-defense and aerospace fields, and its electronic-countermeasure products as military EW products for terminal defense, electronic attack, training, and testing.</x:v>
      </x:c>
      <x:c r="U23" s="35" t="str">
        <x:v>defense, aerospace, high-mobility platforms and military electronic countermeasures</x:v>
      </x:c>
      <x:c r="V23" s="35" t="str">
        <x:v>The filing demonstrates a bounded product role but does not identify military customers, volumes, or exclusivity.</x:v>
      </x:c>
      <x:c r="W23" s="35" t="str">
        <x:v>Chengdu Mengsheng Electronic Technology 2025 annual-report summary</x:v>
      </x:c>
      <x:c r="X23" s="35" t="str">
        <x:v>https://dataclouds.cninfo.com.cn/shgonggao/hsomarket/2026/20260421/25c6b2d9722b4c1990648cda477bc885.PDF</x:v>
      </x:c>
    </x:row>
    <x:row r="24" ht="76" customHeight="1">
      <x:c r="A24" s="35" t="str">
        <x:v>CNSCE-56BECE5B35</x:v>
      </x:c>
      <x:c r="B24" s="35" t="str">
        <x:v>CNSCA-7363F2F98A</x:v>
      </x:c>
      <x:c r="C24" s="35" t="str">
        <x:v>北京新雷能科技股份有限公司</x:v>
      </x:c>
      <x:c r="D24" s="35" t="str">
        <x:v>rad_hard_power_motor_drive_and_UAV_motors</x:v>
      </x:c>
      <x:c r="E24" s="35" t="str">
        <x:v>COMP-024</x:v>
      </x:c>
      <x:c r="F24" s="35" t="str">
        <x:v>2026-04-21</x:v>
      </x:c>
      <x:c r="G24" s="35" t="str">
        <x:v>not_procurement</x:v>
      </x:c>
      <x:c r="H24" s="35" t="str">
        <x:v>dual_use_technical</x:v>
      </x:c>
      <x:c r="I24" s="35" t="str">
        <x:v>Medium</x:v>
      </x:c>
      <x:c r="J24" s="35" t="str">
        <x:v>U4</x:v>
      </x:c>
      <x:c r="K24" s="35" t="str">
        <x:v>U2</x:v>
      </x:c>
      <x:c r="L24" s="35" t="n">
        <x:v>3</x:v>
      </x:c>
      <x:c r="M24" s="35" t="n">
        <x:v>4</x:v>
      </x:c>
      <x:c r="N24" s="35" t="n">
        <x:v>3</x:v>
      </x:c>
      <x:c r="O24" s="35" t="n">
        <x:v>2</x:v>
      </x:c>
      <x:c r="P24" s="35" t="n">
        <x:v>3</x:v>
      </x:c>
      <x:c r="Q24" s="35" t="n">
        <x:v>4</x:v>
      </x:c>
      <x:c r="R24" s="35" t="n">
        <x:v>2</x:v>
      </x:c>
      <x:c r="S24" s="35" t="n">
        <x:v>2</x:v>
      </x:c>
      <x:c r="T24" s="35" t="str">
        <x:v>Radiation-hardened power-management ICs for spacecraft, motor-drive ICs/modules, and high-power-density high-speed motors for large UAVs and aviation.</x:v>
      </x:c>
      <x:c r="U24" s="35" t="str">
        <x:v>No named defense buyer</x:v>
      </x:c>
      <x:c r="V24" s="35" t="str">
        <x:v>Keep commercial/dual-use until armed-equipment relationship is separately sourced.</x:v>
      </x:c>
      <x:c r="W24" s="35" t="str">
        <x:v>北京新雷能科技股份有限公司 — issuer_annual_report</x:v>
      </x:c>
      <x:c r="X24" s="35" t="str">
        <x:v>https://static.cninfo.com.cn/finalpage/2026-04-21/1225130175.PDF</x:v>
      </x:c>
    </x:row>
    <x:row r="25" ht="76" customHeight="1">
      <x:c r="A25" s="35" t="str">
        <x:v>CNSCE-C9E26734CF</x:v>
      </x:c>
      <x:c r="B25" s="35" t="str">
        <x:v>CNSCA-02C1E2FE32</x:v>
      </x:c>
      <x:c r="C25" s="35" t="str">
        <x:v>芯联集成电路制造股份有限公司</x:v>
      </x:c>
      <x:c r="D25" s="35" t="str">
        <x:v>MEMS_IMU_lidar_driver_and_MCU_foundry_platform</x:v>
      </x:c>
      <x:c r="E25" s="35" t="str">
        <x:v>MAN-005</x:v>
      </x:c>
      <x:c r="F25" s="35" t="str">
        <x:v>2026-04-17</x:v>
      </x:c>
      <x:c r="G25" s="35" t="str">
        <x:v>not_procurement</x:v>
      </x:c>
      <x:c r="H25" s="35" t="str">
        <x:v>commercial_dual_use_technical</x:v>
      </x:c>
      <x:c r="I25" s="35" t="str">
        <x:v>High</x:v>
      </x:c>
      <x:c r="J25" s="35" t="str">
        <x:v>U4</x:v>
      </x:c>
      <x:c r="K25" s="35" t="str">
        <x:v>U4</x:v>
      </x:c>
      <x:c r="L25" s="35" t="n">
        <x:v>1</x:v>
      </x:c>
      <x:c r="M25" s="35" t="n">
        <x:v>3</x:v>
      </x:c>
      <x:c r="N25" s="35" t="n">
        <x:v>1</x:v>
      </x:c>
      <x:c r="O25" s="35" t="n">
        <x:v>3</x:v>
      </x:c>
      <x:c r="P25" s="35" t="n">
        <x:v>1</x:v>
      </x:c>
      <x:c r="Q25" s="35" t="n">
        <x:v>3</x:v>
      </x:c>
      <x:c r="R25" s="35" t="n">
        <x:v>1</x:v>
      </x:c>
      <x:c r="S25" s="35" t="n">
        <x:v>3</x:v>
      </x:c>
      <x:c r="T25" s="35" t="str">
        <x:v>The issuer reports its MEMS, lidar, IMU, driver, and MCU hardware platform was designed into multiple robotics customers with orders at the tens-of-millions RMB scale.</x:v>
      </x:c>
      <x:c r="U25" s="35" t="str">
        <x:v>embodied robotics, non-humanoid robots, and other commercial autonomy applications</x:v>
      </x:c>
      <x:c r="V25" s="35" t="str">
        <x:v>No military buyer, defense program, or military end use is disclosed. It remains a commercial autonomy/robotics watch node, not a ranked defense supplier.</x:v>
      </x:c>
      <x:c r="W25" s="35" t="str">
        <x:v>SMEC 2025 annual report</x:v>
      </x:c>
      <x:c r="X25" s="35" t="str">
        <x:v>https://dataclouds.cninfo.com.cn/shgonggao/hsomarket/2026/20260420/a7d644d0f0dd41678d6544801932ceac.PDF</x:v>
      </x:c>
    </x:row>
    <x:row r="26" ht="76" customHeight="1">
      <x:c r="A26" s="35" t="str">
        <x:v>CNSCE-6A3712FF95</x:v>
      </x:c>
      <x:c r="B26" s="35" t="str">
        <x:v>CNSCA-F0C568E721</x:v>
      </x:c>
      <x:c r="C26" s="35" t="str">
        <x:v>上海霍莱沃电子系统技术股份有限公司</x:v>
      </x:c>
      <x:c r="D26" s="35" t="str">
        <x:v>electromagnetic_simulation_AESA_calibration_and_validation</x:v>
      </x:c>
      <x:c r="E26" s="35" t="str">
        <x:v>MAN-003</x:v>
      </x:c>
      <x:c r="F26" s="35" t="str">
        <x:v>2026-04-14</x:v>
      </x:c>
      <x:c r="G26" s="35" t="str">
        <x:v>not_procurement</x:v>
      </x:c>
      <x:c r="H26" s="35" t="str">
        <x:v>bounded_defense_industrial_role</x:v>
      </x:c>
      <x:c r="I26" s="35" t="str">
        <x:v>High</x:v>
      </x:c>
      <x:c r="J26" s="35" t="str">
        <x:v>U3</x:v>
      </x:c>
      <x:c r="K26" s="35" t="str">
        <x:v>U3</x:v>
      </x:c>
      <x:c r="L26" s="35" t="n">
        <x:v>3</x:v>
      </x:c>
      <x:c r="M26" s="35" t="n">
        <x:v>4</x:v>
      </x:c>
      <x:c r="N26" s="35" t="n">
        <x:v>3</x:v>
      </x:c>
      <x:c r="O26" s="35" t="n">
        <x:v>4</x:v>
      </x:c>
      <x:c r="P26" s="35" t="n">
        <x:v>3</x:v>
      </x:c>
      <x:c r="Q26" s="35" t="n">
        <x:v>4</x:v>
      </x:c>
      <x:c r="R26" s="35" t="n">
        <x:v>3</x:v>
      </x:c>
      <x:c r="S26" s="35" t="n">
        <x:v>4</x:v>
      </x:c>
      <x:c r="T26" s="35" t="str">
        <x:v>The issuer reports providing phased-array calibration/measurement systems for multiple radar models and identifies major defense-group customer families; it also describes its own simulation and calibration stack.</x:v>
      </x:c>
      <x:c r="U26" s="35" t="str">
        <x:v>CETC, CASC, CASIC, CSSC, AVIC, China Aero-Engine, CAS and commercial-space customers</x:v>
      </x:c>
      <x:c r="V26" s="35" t="str">
        <x:v>Project support and a tender-candidate record do not establish current delivery, an exclusive validation bottleneck, or a specific military-program dependency.</x:v>
      </x:c>
      <x:c r="W26" s="35" t="str">
        <x:v>Shanghai Hollywave Electronic System Technology 2025 annual report</x:v>
      </x:c>
      <x:c r="X26" s="35" t="str">
        <x:v>https://dataclouds.cninfo.com.cn/shgonggao/hsomarket/2026/20260414/5bd24d0a9a3c41f5800a8230136d400a.PDF</x:v>
      </x:c>
    </x:row>
    <x:row r="27" ht="76" customHeight="1">
      <x:c r="A27" s="35" t="str">
        <x:v>CNSCE-4B122DC64E</x:v>
      </x:c>
      <x:c r="B27" s="35" t="str">
        <x:v>CNSCA-FA049DE64A</x:v>
      </x:c>
      <x:c r="C27" s="35" t="str">
        <x:v>北京新兴东方航空装备股份有限公司</x:v>
      </x:c>
      <x:c r="D27" s="35" t="str">
        <x:v>servo_control_and_precision_transmission</x:v>
      </x:c>
      <x:c r="E27" s="35" t="str">
        <x:v>COMP-005</x:v>
      </x:c>
      <x:c r="F27" s="35" t="str">
        <x:v>2026-04-10</x:v>
      </x:c>
      <x:c r="G27" s="35" t="str">
        <x:v>not_procurement</x:v>
      </x:c>
      <x:c r="H27" s="35" t="str">
        <x:v>direct_military_technical</x:v>
      </x:c>
      <x:c r="I27" s="35" t="str">
        <x:v>High</x:v>
      </x:c>
      <x:c r="J27" s="35" t="str">
        <x:v>U5</x:v>
      </x:c>
      <x:c r="K27" s="35" t="str">
        <x:v>U5</x:v>
      </x:c>
      <x:c r="L27" s="35" t="n">
        <x:v>4</x:v>
      </x:c>
      <x:c r="M27" s="35" t="n">
        <x:v>3</x:v>
      </x:c>
      <x:c r="N27" s="35" t="n">
        <x:v>3</x:v>
      </x:c>
      <x:c r="O27" s="35" t="n">
        <x:v>4</x:v>
      </x:c>
      <x:c r="P27" s="35" t="n">
        <x:v>3</x:v>
      </x:c>
      <x:c r="Q27" s="35" t="n">
        <x:v>3</x:v>
      </x:c>
      <x:c r="R27" s="35" t="n">
        <x:v>2</x:v>
      </x:c>
      <x:c r="S27" s="35" t="n">
        <x:v>4</x:v>
      </x:c>
      <x:c r="T27" s="35" t="str">
        <x:v>Key supplier of military-aircraft pylon/turret-following antenna-deployment hoist and sonobuoy-release systems; leading position on a fielded helicopter type.</x:v>
      </x:c>
      <x:c r="U27" s="35" t="str">
        <x:v>Fielded helicopter type unnamed</x:v>
      </x:c>
      <x:c r="V27" s="35" t="str">
        <x:v>No specific helicopter model or contract value disclosed.</x:v>
      </x:c>
      <x:c r="W27" s="35" t="str">
        <x:v>北京新兴东方航空装备股份有限公司 — issuer_annual_report</x:v>
      </x:c>
      <x:c r="X27" s="35" t="str">
        <x:v>https://static.cninfo.com.cn/finalpage/2026-04-10/1225090558.PDF</x:v>
      </x:c>
    </x:row>
    <x:row r="28" ht="76" customHeight="1">
      <x:c r="A28" s="35" t="str">
        <x:v>CNSCE-CE2BF64688</x:v>
      </x:c>
      <x:c r="B28" s="35" t="str">
        <x:v>CNSCA-3385A3CAA0</x:v>
      </x:c>
      <x:c r="C28" s="35" t="str">
        <x:v>南京国博电子股份有限公司</x:v>
      </x:c>
      <x:c r="D28" s="35" t="str">
        <x:v>AESA_TR_modules_and_RF_ICs</x:v>
      </x:c>
      <x:c r="E28" s="35" t="str">
        <x:v>COMP-002</x:v>
      </x:c>
      <x:c r="F28" s="35" t="str">
        <x:v>2026-04-10</x:v>
      </x:c>
      <x:c r="G28" s="35" t="str">
        <x:v>not_procurement</x:v>
      </x:c>
      <x:c r="H28" s="35" t="str">
        <x:v>documented_defense_technical</x:v>
      </x:c>
      <x:c r="I28" s="35" t="str">
        <x:v>High</x:v>
      </x:c>
      <x:c r="J28" s="35" t="str">
        <x:v>U5</x:v>
      </x:c>
      <x:c r="K28" s="35" t="str">
        <x:v>U4</x:v>
      </x:c>
      <x:c r="L28" s="35" t="n">
        <x:v>4</x:v>
      </x:c>
      <x:c r="M28" s="35" t="n">
        <x:v>4</x:v>
      </x:c>
      <x:c r="N28" s="35" t="n">
        <x:v>4</x:v>
      </x:c>
      <x:c r="O28" s="35" t="n">
        <x:v>3</x:v>
      </x:c>
      <x:c r="P28" s="35" t="n">
        <x:v>3</x:v>
      </x:c>
      <x:c r="Q28" s="35" t="n">
        <x:v>4</x:v>
      </x:c>
      <x:c r="R28" s="35" t="n">
        <x:v>2</x:v>
      </x:c>
      <x:c r="S28" s="35" t="n">
        <x:v>3</x:v>
      </x:c>
      <x:c r="T28" s="35" t="str">
        <x:v>Batch supplies AESA T/R components and serial RF ICs; several products finalized and in batch production for research institutes and complete-system units.</x:v>
      </x:c>
      <x:c r="U28" s="35" t="str">
        <x:v>Research institutes and prime/whole-system units unnamed</x:v>
      </x:c>
      <x:c r="V28" s="35" t="str">
        <x:v>No military end customer/platform named; do not represent as monopoly.</x:v>
      </x:c>
      <x:c r="W28" s="35" t="str">
        <x:v>南京国博电子股份有限公司 — issuer_annual_report</x:v>
      </x:c>
      <x:c r="X28" s="35" t="str">
        <x:v>https://static.cninfo.com.cn/finalpage/2026-04-10/1225090270.PDF</x:v>
      </x:c>
    </x:row>
    <x:row r="29" ht="76" customHeight="1">
      <x:c r="A29" s="35" t="str">
        <x:v>CNSCE-CB3E862FA2</x:v>
      </x:c>
      <x:c r="B29" s="35" t="str">
        <x:v>CNSCA-FBF37C7778</x:v>
      </x:c>
      <x:c r="C29" s="35" t="str">
        <x:v>烟台睿创微纳技术股份有限公司</x:v>
      </x:c>
      <x:c r="D29" s="35" t="str">
        <x:v>IR_detectors_thermal_cores_TR_and_laser_ranging</x:v>
      </x:c>
      <x:c r="E29" s="35" t="str">
        <x:v>COMP-019</x:v>
      </x:c>
      <x:c r="F29" s="35" t="str">
        <x:v>2026-04-09</x:v>
      </x:c>
      <x:c r="G29" s="35" t="str">
        <x:v>not_procurement</x:v>
      </x:c>
      <x:c r="H29" s="35" t="str">
        <x:v>documented_special_equipment_role</x:v>
      </x:c>
      <x:c r="I29" s="35" t="str">
        <x:v>High</x:v>
      </x:c>
      <x:c r="J29" s="35" t="str">
        <x:v>U5</x:v>
      </x:c>
      <x:c r="K29" s="35" t="str">
        <x:v>U3</x:v>
      </x:c>
      <x:c r="L29" s="35" t="n">
        <x:v>3</x:v>
      </x:c>
      <x:c r="M29" s="35" t="n">
        <x:v>4</x:v>
      </x:c>
      <x:c r="N29" s="35" t="n">
        <x:v>4</x:v>
      </x:c>
      <x:c r="O29" s="35" t="n">
        <x:v>3</x:v>
      </x:c>
      <x:c r="P29" s="35" t="n">
        <x:v>3</x:v>
      </x:c>
      <x:c r="Q29" s="35" t="n">
        <x:v>4</x:v>
      </x:c>
      <x:c r="R29" s="35" t="n">
        <x:v>2</x:v>
      </x:c>
      <x:c r="S29" s="35" t="n">
        <x:v>3</x:v>
      </x:c>
      <x:c r="T29" s="35" t="str">
        <x:v>Independent CMOS-readout/MEMS-wafer/detector/core production; direct sales to special-equipment prime/system manufacturers; participates in model competition testing and finalization; 6m detector annual manufacturing platform.</x:v>
      </x:c>
      <x:c r="U29" s="35" t="str">
        <x:v>Special-equipment prime/system makers unnamed</x:v>
      </x:c>
      <x:c r="V29" s="35" t="str">
        <x:v>Special equipment is not equivalent to a disclosed PLA award.</x:v>
      </x:c>
      <x:c r="W29" s="35" t="str">
        <x:v>烟台睿创微纳技术股份有限公司 — issuer_annual_report</x:v>
      </x:c>
      <x:c r="X29" s="35" t="str">
        <x:v>https://dataclouds.cninfo.com.cn/shgonggao/hsomarket/2026/20260409/bd5b9430f4f748bb9810c6a6fbcb645e.PDF</x:v>
      </x:c>
    </x:row>
    <x:row r="30" ht="76" customHeight="1">
      <x:c r="A30" s="35" t="str">
        <x:v>CNSCE-1FEED815F0</x:v>
      </x:c>
      <x:c r="B30" s="35" t="str">
        <x:v>CNSCA-5179725983</x:v>
      </x:c>
      <x:c r="C30" s="35" t="str">
        <x:v>湖北久之洋红外系统股份有限公司</x:v>
      </x:c>
      <x:c r="D30" s="35" t="str">
        <x:v>EO_IR_lasers_optics_and_star_trackers</x:v>
      </x:c>
      <x:c r="E30" s="35" t="str">
        <x:v>COMP-035</x:v>
      </x:c>
      <x:c r="F30" s="35" t="str">
        <x:v>2026-03-27</x:v>
      </x:c>
      <x:c r="G30" s="35" t="str">
        <x:v>not_procurement</x:v>
      </x:c>
      <x:c r="H30" s="35" t="str">
        <x:v>defense_industrial_order</x:v>
      </x:c>
      <x:c r="I30" s="35" t="str">
        <x:v>High</x:v>
      </x:c>
      <x:c r="J30" s="35" t="str">
        <x:v>U4</x:v>
      </x:c>
      <x:c r="K30" s="35" t="str">
        <x:v>U2</x:v>
      </x:c>
      <x:c r="L30" s="35" t="n">
        <x:v>3</x:v>
      </x:c>
      <x:c r="M30" s="35" t="n">
        <x:v>4</x:v>
      </x:c>
      <x:c r="N30" s="35" t="n">
        <x:v>4</x:v>
      </x:c>
      <x:c r="O30" s="35" t="n">
        <x:v>3</x:v>
      </x:c>
      <x:c r="P30" s="35" t="n">
        <x:v>3</x:v>
      </x:c>
      <x:c r="Q30" s="35" t="n">
        <x:v>4</x:v>
      </x:c>
      <x:c r="R30" s="35" t="n">
        <x:v>2</x:v>
      </x:c>
      <x:c r="S30" s="35" t="n">
        <x:v>3</x:v>
      </x:c>
      <x:c r="T30" s="35" t="str">
        <x:v>Produces full-spectrum thermal imagers lasers optics and star trackers; LEO inter-satellite laser-communications amplifier passed overall-unit test and received a procurement order; sales to Huazhong Optoelectronic Research Institute group.</x:v>
      </x:c>
      <x:c r="U30" s="35" t="str">
        <x:v>Huazhong Optoelectronic Research Institute and subsidiaries</x:v>
      </x:c>
      <x:c r="V30" s="35" t="str">
        <x:v>Defense-industrial/aerospace connection, not disclosed ultimate military end user or weapon platform.</x:v>
      </x:c>
      <x:c r="W30" s="35" t="str">
        <x:v>湖北久之洋红外系统股份有限公司 — issuer_annual_report</x:v>
      </x:c>
      <x:c r="X30" s="35" t="str">
        <x:v>https://static.cninfo.com.cn/finalpage/2026-03-27/1225037823.PDF</x:v>
      </x:c>
    </x:row>
    <x:row r="31" ht="76" customHeight="1">
      <x:c r="A31" s="35" t="str">
        <x:v>CNSCE-C13D8098C4</x:v>
      </x:c>
      <x:c r="B31" s="35" t="str">
        <x:v>CNSCA-D1614000A1</x:v>
      </x:c>
      <x:c r="C31" s="35" t="str">
        <x:v>广电计量检测集团股份有限公司</x:v>
      </x:c>
      <x:c r="D31" s="35" t="str">
        <x:v>software_EMC_reliability_and_acceptance_testing</x:v>
      </x:c>
      <x:c r="E31" s="35" t="str">
        <x:v>COMP-021</x:v>
      </x:c>
      <x:c r="F31" s="35" t="str">
        <x:v>2026-03-27</x:v>
      </x:c>
      <x:c r="G31" s="35" t="str">
        <x:v>not_procurement</x:v>
      </x:c>
      <x:c r="H31" s="35" t="str">
        <x:v>documented_military_technical</x:v>
      </x:c>
      <x:c r="I31" s="35" t="str">
        <x:v>High</x:v>
      </x:c>
      <x:c r="J31" s="35" t="str">
        <x:v>U5</x:v>
      </x:c>
      <x:c r="K31" s="35" t="str">
        <x:v>U3</x:v>
      </x:c>
      <x:c r="L31" s="35" t="n">
        <x:v>3</x:v>
      </x:c>
      <x:c r="M31" s="35" t="n">
        <x:v>3</x:v>
      </x:c>
      <x:c r="N31" s="35" t="n">
        <x:v>4</x:v>
      </x:c>
      <x:c r="O31" s="35" t="n">
        <x:v>4</x:v>
      </x:c>
      <x:c r="P31" s="35" t="n">
        <x:v>3</x:v>
      </x:c>
      <x:c r="Q31" s="35" t="n">
        <x:v>3</x:v>
      </x:c>
      <x:c r="R31" s="35" t="n">
        <x:v>2</x:v>
      </x:c>
      <x:c r="S31" s="35" t="n">
        <x:v>4</x:v>
      </x:c>
      <x:c r="T31" s="35" t="str">
        <x:v>Completed a specific helicopter whole-aircraft airborne-software verification/evaluation task and gained armed-equipment qualification for cyber-security testing/evaluation.</x:v>
      </x:c>
      <x:c r="U31" s="35" t="str">
        <x:v>Helicopter customer/model undisclosed</x:v>
      </x:c>
      <x:c r="V31" s="35" t="str">
        <x:v>Production-enablement/test service; not a platform or component manufacturer.</x:v>
      </x:c>
      <x:c r="W31" s="35" t="str">
        <x:v>广电计量检测集团股份有限公司 — issuer_annual_report</x:v>
      </x:c>
      <x:c r="X31" s="35" t="str">
        <x:v>https://static.cninfo.com.cn/finalpage/2026-03-27/1225036876.PDF</x:v>
      </x:c>
    </x:row>
    <x:row r="32" ht="76" customHeight="1">
      <x:c r="A32" s="35" t="str">
        <x:v>CNSCE-86EDE3A29A</x:v>
      </x:c>
      <x:c r="B32" s="35" t="str">
        <x:v>CNSCA-96F078E2AA</x:v>
      </x:c>
      <x:c r="C32" s="35" t="str">
        <x:v>航天时代电子技术股份有限公司</x:v>
      </x:c>
      <x:c r="D32" s="35" t="str">
        <x:v>unmanned_systems_and_aerospace_electronics_integration</x:v>
      </x:c>
      <x:c r="E32" s="35" t="str">
        <x:v>MAN-004</x:v>
      </x:c>
      <x:c r="F32" s="35" t="str">
        <x:v>2026-03-26</x:v>
      </x:c>
      <x:c r="G32" s="35" t="str">
        <x:v>not_procurement</x:v>
      </x:c>
      <x:c r="H32" s="35" t="str">
        <x:v>documented_defense_industrial_role</x:v>
      </x:c>
      <x:c r="I32" s="35" t="str">
        <x:v>High</x:v>
      </x:c>
      <x:c r="J32" s="35" t="str">
        <x:v>U4</x:v>
      </x:c>
      <x:c r="K32" s="35" t="str">
        <x:v>U4</x:v>
      </x:c>
      <x:c r="L32" s="35" t="n">
        <x:v>3</x:v>
      </x:c>
      <x:c r="M32" s="35" t="n">
        <x:v>2</x:v>
      </x:c>
      <x:c r="N32" s="35" t="n">
        <x:v>2</x:v>
      </x:c>
      <x:c r="O32" s="35" t="n">
        <x:v>4</x:v>
      </x:c>
      <x:c r="P32" s="35" t="n">
        <x:v>3</x:v>
      </x:c>
      <x:c r="Q32" s="35" t="n">
        <x:v>2</x:v>
      </x:c>
      <x:c r="R32" s="35" t="n">
        <x:v>2</x:v>
      </x:c>
      <x:c r="S32" s="35" t="n">
        <x:v>4</x:v>
      </x:c>
      <x:c r="T32" s="35" t="str">
        <x:v>The issuer says its revenue includes aerospace-electronic products plus unmanned systems and high-end intelligent equipment; it identifies Feihong as the unmanned-system industrial-chain leader and reports batch reorders in export markets.</x:v>
      </x:c>
      <x:c r="U32" s="35" t="str">
        <x:v>unmanned systems and high-end intelligent equipment; Aviation/space-electronics markets</x:v>
      </x:c>
      <x:c r="V32" s="35" t="str">
        <x:v>This is a prime/integrator scorecard; the disclosure does not establish the subsidiary-level supply chain or domestic military fielding scale.</x:v>
      </x:c>
      <x:c r="W32" s="35" t="str">
        <x:v>China Aerospace Times Electronics 2025 annual report</x:v>
      </x:c>
      <x:c r="X32" s="35" t="str">
        <x:v>https://dataclouds.cninfo.com.cn/shgonggao/hsomarket/2026/20260327/01fc31123b944c3396c26972e042ab76.PDF</x:v>
      </x:c>
    </x:row>
    <x:row r="33" ht="76" customHeight="1">
      <x:c r="A33" s="35" t="str">
        <x:v>CNSCE-E8CF9169C8</x:v>
      </x:c>
      <x:c r="B33" s="35" t="str">
        <x:v>CNSCA-2C00142CC5</x:v>
      </x:c>
      <x:c r="C33" s="35" t="str">
        <x:v>成都智明达电子股份有限公司</x:v>
      </x:c>
      <x:c r="D33" s="35" t="str">
        <x:v>rugged_embedded_compute_UAV_flight_and_CUAS</x:v>
      </x:c>
      <x:c r="E33" s="35" t="str">
        <x:v>COMP-020</x:v>
      </x:c>
      <x:c r="F33" s="35" t="str">
        <x:v>2026-03-26</x:v>
      </x:c>
      <x:c r="G33" s="35" t="str">
        <x:v>not_procurement</x:v>
      </x:c>
      <x:c r="H33" s="35" t="str">
        <x:v>documented_defense_technical</x:v>
      </x:c>
      <x:c r="I33" s="35" t="str">
        <x:v>High</x:v>
      </x:c>
      <x:c r="J33" s="35" t="str">
        <x:v>U4</x:v>
      </x:c>
      <x:c r="K33" s="35" t="str">
        <x:v>U2</x:v>
      </x:c>
      <x:c r="L33" s="35" t="n">
        <x:v>3</x:v>
      </x:c>
      <x:c r="M33" s="35" t="n">
        <x:v>4</x:v>
      </x:c>
      <x:c r="N33" s="35" t="n">
        <x:v>4</x:v>
      </x:c>
      <x:c r="O33" s="35" t="n">
        <x:v>3</x:v>
      </x:c>
      <x:c r="P33" s="35" t="n">
        <x:v>3</x:v>
      </x:c>
      <x:c r="Q33" s="35" t="n">
        <x:v>4</x:v>
      </x:c>
      <x:c r="R33" s="35" t="n">
        <x:v>2</x:v>
      </x:c>
      <x:c r="S33" s="35" t="n">
        <x:v>3</x:v>
      </x:c>
      <x:c r="T33" s="35" t="str">
        <x:v>Embedded computing products participated in UAV flight control UAV avionics networking UAV-swarm anti-jamming and counter-UAS systems; core business supports priority defense equipment.</x:v>
      </x:c>
      <x:c r="U33" s="35" t="str">
        <x:v>No named buyer/model; UAV instances labeled low-altitude-market participation</x:v>
      </x:c>
      <x:c r="V33" s="35" t="str">
        <x:v>Do not upgrade to military fielding without a buyer/program link.</x:v>
      </x:c>
      <x:c r="W33" s="35" t="str">
        <x:v>成都智明达电子股份有限公司 — issuer_annual_report</x:v>
      </x:c>
      <x:c r="X33" s="35" t="str">
        <x:v>https://static.cninfo.com.cn/finalpage/2026-03-26/1225031432.PDF</x:v>
      </x:c>
    </x:row>
    <x:row r="34" ht="76" customHeight="1">
      <x:c r="A34" s="35" t="str">
        <x:v>CNSCE-9CBF1C501C</x:v>
      </x:c>
      <x:c r="B34" s="35" t="str">
        <x:v>CNSCA-1FF4B58E53</x:v>
      </x:c>
      <x:c r="C34" s="35" t="str">
        <x:v>西安宇航者创新科技有限公司</x:v>
      </x:c>
      <x:c r="D34" s="35" t="str">
        <x:v>unmanned_platforms_swarming_and_mission_integration</x:v>
      </x:c>
      <x:c r="E34" s="35" t="str">
        <x:v>DRA-019</x:v>
      </x:c>
      <x:c r="F34" s="35" t="str">
        <x:v>2026-03-13</x:v>
      </x:c>
      <x:c r="G34" s="35" t="str">
        <x:v>preaward_or_nonfinal</x:v>
      </x:c>
      <x:c r="H34" s="35" t="str">
        <x:v>provisional_candidate_or_capability_signal</x:v>
      </x:c>
      <x:c r="I34" s="35" t="str">
        <x:v>Medium-High</x:v>
      </x:c>
      <x:c r="J34" s="35" t="str">
        <x:v>U1</x:v>
      </x:c>
      <x:c r="K34" s="35" t="str">
        <x:v>U1</x:v>
      </x:c>
      <x:c r="L34" s="35" t="n">
        <x:v>2</x:v>
      </x:c>
      <x:c r="M34" s="35" t="n">
        <x:v>2</x:v>
      </x:c>
      <x:c r="N34" s="35" t="n">
        <x:v>1</x:v>
      </x:c>
      <x:c r="O34" s="35" t="n">
        <x:v>2</x:v>
      </x:c>
      <x:c r="P34" s="35" t="n">
        <x:v>2</x:v>
      </x:c>
      <x:c r="Q34" s="35" t="n">
        <x:v>2</x:v>
      </x:c>
      <x:c r="R34" s="35" t="n">
        <x:v>1</x:v>
      </x:c>
      <x:c r="S34" s="35" t="n">
        <x:v>2</x:v>
      </x:c>
      <x:c r="T34" s="35" t="str">
        <x:v>Search-indexed official result lists Xi'an Yuhangzhe first with a 25 percent price discount in a UAV-parts procurement</x:v>
      </x:c>
      <x:c r="U34" s="35" t="str">
        <x:v>2026-JWJXJD-W9009 UAV-parts procurement</x:v>
      </x:c>
      <x:c r="V34" s="35" t="str">
        <x:v>No source here identifies the supplied parts or proves original manufacturing; likely service/integration role must remain unresolved</x:v>
      </x:c>
      <x:c r="W34" s="35" t="str">
        <x:v>UAV parts procurement result notice</x:v>
      </x:c>
      <x:c r="X34" s="35" t="str">
        <x:v>https://www.plap.mil.cn/freecms/site/juncai/ggxx/info/2026/8a1d03e69cd1fb5c019cd6e59f9a252b.html</x:v>
      </x:c>
    </x:row>
    <x:row r="35" ht="76" customHeight="1">
      <x:c r="A35" s="35" t="str">
        <x:v>CNSCE-3F6706BBF4</x:v>
      </x:c>
      <x:c r="B35" s="35" t="str">
        <x:v>CNSCA-C2FFDBE54E</x:v>
      </x:c>
      <x:c r="C35" s="35" t="str">
        <x:v>杭州星辰大海科技有限公司</x:v>
      </x:c>
      <x:c r="D35" s="35" t="str">
        <x:v>counter_UAS_detection_EW_and_control</x:v>
      </x:c>
      <x:c r="E35" s="35" t="str">
        <x:v>DRA-014</x:v>
      </x:c>
      <x:c r="F35" s="35" t="str">
        <x:v>2026-03-02</x:v>
      </x:c>
      <x:c r="G35" s="35" t="str">
        <x:v>preaward_or_nonfinal</x:v>
      </x:c>
      <x:c r="H35" s="35" t="str">
        <x:v>provisional_candidate_or_capability_signal</x:v>
      </x:c>
      <x:c r="I35" s="35" t="str">
        <x:v>Medium</x:v>
      </x:c>
      <x:c r="J35" s="35" t="str">
        <x:v>U1</x:v>
      </x:c>
      <x:c r="K35" s="35" t="str">
        <x:v>U1</x:v>
      </x:c>
      <x:c r="L35" s="35" t="n">
        <x:v>2</x:v>
      </x:c>
      <x:c r="M35" s="35" t="n">
        <x:v>3</x:v>
      </x:c>
      <x:c r="N35" s="35" t="n">
        <x:v>1</x:v>
      </x:c>
      <x:c r="O35" s="35" t="n">
        <x:v>2</x:v>
      </x:c>
      <x:c r="P35" s="35" t="n">
        <x:v>2</x:v>
      </x:c>
      <x:c r="Q35" s="35" t="n">
        <x:v>3</x:v>
      </x:c>
      <x:c r="R35" s="35" t="n">
        <x:v>1</x:v>
      </x:c>
      <x:c r="S35" s="35" t="n">
        <x:v>2</x:v>
      </x:c>
      <x:c r="T35" s="35" t="str">
        <x:v>Company profile says it undertakes product development in military and government areas and lists radar RF and EO detection; RF suppression; navigation spoofing; high-power microwave/laser; C2 software; and self-owned core IP</x:v>
      </x:c>
      <x:c r="U35" s="35" t="str">
        <x:v>Company states military and government product-development work</x:v>
      </x:c>
      <x:c r="V35" s="35" t="str">
        <x:v>All defense-work and IP assertions are company statements in a recruitment profile; no named contract customer or delivery is provided</x:v>
      </x:c>
      <x:c r="W35" s="35" t="str">
        <x:v>Zhejiang University career-service profile for Hangzhou Xingchen Dahai</x:v>
      </x:c>
      <x:c r="X35" s="35" t="str">
        <x:v>https://www.career.zju.edu.cn/jyxt/sczp/zpztgl/ckZpgwList.zf?dwxxid=JG0000670</x:v>
      </x:c>
    </x:row>
    <x:row r="36" ht="76" customHeight="1">
      <x:c r="A36" s="35" t="str">
        <x:v>CNSCE-7B24B305DB</x:v>
      </x:c>
      <x:c r="B36" s="35" t="str">
        <x:v>CNSCA-E005343236</x:v>
      </x:c>
      <x:c r="C36" s="35" t="str">
        <x:v>四川金朝电子工程有限公司</x:v>
      </x:c>
      <x:c r="D36" s="35" t="str">
        <x:v>counter_UAS_detection_EW_and_control</x:v>
      </x:c>
      <x:c r="E36" s="35" t="str">
        <x:v>DRA-018</x:v>
      </x:c>
      <x:c r="F36" s="35" t="str">
        <x:v>2026-02-12</x:v>
      </x:c>
      <x:c r="G36" s="35" t="str">
        <x:v>preaward_or_nonfinal</x:v>
      </x:c>
      <x:c r="H36" s="35" t="str">
        <x:v>provisional_candidate_or_capability_signal</x:v>
      </x:c>
      <x:c r="I36" s="35" t="str">
        <x:v>High</x:v>
      </x:c>
      <x:c r="J36" s="35" t="str">
        <x:v>U1</x:v>
      </x:c>
      <x:c r="K36" s="35" t="str">
        <x:v>U1</x:v>
      </x:c>
      <x:c r="L36" s="35" t="n">
        <x:v>2</x:v>
      </x:c>
      <x:c r="M36" s="35" t="n">
        <x:v>2</x:v>
      </x:c>
      <x:c r="N36" s="35" t="n">
        <x:v>1</x:v>
      </x:c>
      <x:c r="O36" s="35" t="n">
        <x:v>2</x:v>
      </x:c>
      <x:c r="P36" s="35" t="n">
        <x:v>2</x:v>
      </x:c>
      <x:c r="Q36" s="35" t="n">
        <x:v>2</x:v>
      </x:c>
      <x:c r="R36" s="35" t="n">
        <x:v>1</x:v>
      </x:c>
      <x:c r="S36" s="35" t="n">
        <x:v>2</x:v>
      </x:c>
      <x:c r="T36" s="35" t="str">
        <x:v>Official notice ranks Sichuan Jinchao first and identifies it as the pre-award supplier at RMB 189000</x:v>
      </x:c>
      <x:c r="U36" s="35" t="str">
        <x:v>2025-JWSCDY-W3001 fixed AI fully autonomous low-altitude countermeasure robot</x:v>
      </x:c>
      <x:c r="V36" s="35" t="str">
        <x:v>The notice names a supplier but does not identify the OEM or demonstrate that Jinchao designed the robot; do not treat it as a robot manufacturer</x:v>
      </x:c>
      <x:c r="W36" s="35" t="str">
        <x:v>Fixed AI fully autonomous low-altitude countermeasure robot procurement result</x:v>
      </x:c>
      <x:c r="X36" s="35" t="str">
        <x:v>https://www.plap.mil.cn/freecms/site/juncai/ggxx/info/2026/8a1d002c9afc0109019c50c1650c0a41.html</x:v>
      </x:c>
    </x:row>
    <x:row r="37" ht="76" customHeight="1">
      <x:c r="A37" s="35" t="str">
        <x:v>CNSCE-BD3B889B48</x:v>
      </x:c>
      <x:c r="B37" s="35" t="str">
        <x:v>CNSCA-FE1DDC7512</x:v>
      </x:c>
      <x:c r="C37" s="35" t="str">
        <x:v>广东纳萨斯通信科技有限公司</x:v>
      </x:c>
      <x:c r="D37" s="35" t="str">
        <x:v>counter_UAS_detection_EW_and_control</x:v>
      </x:c>
      <x:c r="E37" s="35" t="str">
        <x:v>DRA-011</x:v>
      </x:c>
      <x:c r="F37" s="35" t="str">
        <x:v>2026-02-12</x:v>
      </x:c>
      <x:c r="G37" s="35" t="str">
        <x:v>preaward_or_nonfinal</x:v>
      </x:c>
      <x:c r="H37" s="35" t="str">
        <x:v>provisional_candidate_or_capability_signal</x:v>
      </x:c>
      <x:c r="I37" s="35" t="str">
        <x:v>High</x:v>
      </x:c>
      <x:c r="J37" s="35" t="str">
        <x:v>U1</x:v>
      </x:c>
      <x:c r="K37" s="35" t="str">
        <x:v>U1</x:v>
      </x:c>
      <x:c r="L37" s="35" t="n">
        <x:v>2</x:v>
      </x:c>
      <x:c r="M37" s="35" t="n">
        <x:v>2</x:v>
      </x:c>
      <x:c r="N37" s="35" t="n">
        <x:v>1</x:v>
      </x:c>
      <x:c r="O37" s="35" t="n">
        <x:v>2</x:v>
      </x:c>
      <x:c r="P37" s="35" t="n">
        <x:v>2</x:v>
      </x:c>
      <x:c r="Q37" s="35" t="n">
        <x:v>2</x:v>
      </x:c>
      <x:c r="R37" s="35" t="n">
        <x:v>1</x:v>
      </x:c>
      <x:c r="S37" s="35" t="n">
        <x:v>2</x:v>
      </x:c>
      <x:c r="T37" s="35" t="str">
        <x:v>Official notice ranks Nasis fourth and identifies it as third pre-award supplier at RMB 285000</x:v>
      </x:c>
      <x:c r="U37" s="35" t="str">
        <x:v>2025-JLTJKL-W1002 second C-UAS equipment procurement</x:v>
      </x:c>
      <x:c r="V37" s="35" t="str">
        <x:v>Still not a final award or completed delivery; competitive field and shared-brand issue in the notice argue against high irreplaceability</x:v>
      </x:c>
      <x:c r="W37" s="35" t="str">
        <x:v>Second C-UAS equipment procurement result notice</x:v>
      </x:c>
      <x:c r="X37" s="35" t="str">
        <x:v>https://www.plap.mil.cn/freecms/site/juncai/ggxx/info/2026/8a1d002c9afc0109019c4fbf41ba041a.html</x:v>
      </x:c>
    </x:row>
    <x:row r="38" ht="76" customHeight="1">
      <x:c r="A38" s="35" t="str">
        <x:v>CNSCE-01439B7445</x:v>
      </x:c>
      <x:c r="B38" s="35" t="str">
        <x:v>CNSCA-FE1DDC7512</x:v>
      </x:c>
      <x:c r="C38" s="35" t="str">
        <x:v>广东纳萨斯通信科技有限公司</x:v>
      </x:c>
      <x:c r="D38" s="35" t="str">
        <x:v>counter_UAS_detection_EW_and_control</x:v>
      </x:c>
      <x:c r="E38" s="35" t="str">
        <x:v>DRA-012</x:v>
      </x:c>
      <x:c r="F38" s="35" t="str">
        <x:v>2026 (exact posting date to reconcile)</x:v>
      </x:c>
      <x:c r="G38" s="35" t="str">
        <x:v>preaward_or_nonfinal</x:v>
      </x:c>
      <x:c r="H38" s="35" t="str">
        <x:v>provisional_candidate_or_capability_signal</x:v>
      </x:c>
      <x:c r="I38" s="35" t="str">
        <x:v>High</x:v>
      </x:c>
      <x:c r="J38" s="35" t="str">
        <x:v>U1</x:v>
      </x:c>
      <x:c r="K38" s="35" t="str">
        <x:v>U1</x:v>
      </x:c>
      <x:c r="L38" s="35" t="n">
        <x:v>2</x:v>
      </x:c>
      <x:c r="M38" s="35" t="n">
        <x:v>2</x:v>
      </x:c>
      <x:c r="N38" s="35" t="n">
        <x:v>1</x:v>
      </x:c>
      <x:c r="O38" s="35" t="n">
        <x:v>2</x:v>
      </x:c>
      <x:c r="P38" s="35" t="n">
        <x:v>2</x:v>
      </x:c>
      <x:c r="Q38" s="35" t="n">
        <x:v>2</x:v>
      </x:c>
      <x:c r="R38" s="35" t="n">
        <x:v>1</x:v>
      </x:c>
      <x:c r="S38" s="35" t="n">
        <x:v>2</x:v>
      </x:c>
      <x:c r="T38" s="35" t="str">
        <x:v>Search-indexed official notice names Guangdong Nasis as the pre-award supplier at RMB 126000</x:v>
      </x:c>
      <x:c r="U38" s="35" t="str">
        <x:v>2026-JJDBBK-W4011 C-UAS equipment procurement</x:v>
      </x:c>
      <x:c r="V38" s="35" t="str">
        <x:v>Exact posting date needs direct page retrieval; page uses pre-award language</x:v>
      </x:c>
      <x:c r="W38" s="35" t="str">
        <x:v>UAV countermeasure equipment procurement result notice</x:v>
      </x:c>
      <x:c r="X38" s="35" t="str">
        <x:v>https://www.plap.mil.cn/freecms/site/juncai/ggxx/info/2026/8a1d03e69cd1fb5c019d0a2b42f932db.html</x:v>
      </x:c>
    </x:row>
    <x:row r="39" ht="76" customHeight="1">
      <x:c r="A39" s="35" t="str">
        <x:v>CNSCE-10CF91DB92</x:v>
      </x:c>
      <x:c r="B39" s="35" t="str">
        <x:v>CNSCA-0A3F1DF560</x:v>
      </x:c>
      <x:c r="C39" s="35" t="str">
        <x:v>山东中科长天科技有限公司</x:v>
      </x:c>
      <x:c r="D39" s="35" t="str">
        <x:v>unmanned_platforms_swarming_and_mission_integration</x:v>
      </x:c>
      <x:c r="E39" s="35" t="str">
        <x:v>DRA-017</x:v>
      </x:c>
      <x:c r="F39" s="35" t="str">
        <x:v>2025-12-16</x:v>
      </x:c>
      <x:c r="G39" s="35" t="str">
        <x:v>preaward_or_nonfinal</x:v>
      </x:c>
      <x:c r="H39" s="35" t="str">
        <x:v>provisional_candidate_or_capability_signal</x:v>
      </x:c>
      <x:c r="I39" s="35" t="str">
        <x:v>Medium-High</x:v>
      </x:c>
      <x:c r="J39" s="35" t="str">
        <x:v>U1</x:v>
      </x:c>
      <x:c r="K39" s="35" t="str">
        <x:v>U1</x:v>
      </x:c>
      <x:c r="L39" s="35" t="n">
        <x:v>2</x:v>
      </x:c>
      <x:c r="M39" s="35" t="n">
        <x:v>2</x:v>
      </x:c>
      <x:c r="N39" s="35" t="n">
        <x:v>1</x:v>
      </x:c>
      <x:c r="O39" s="35" t="n">
        <x:v>2</x:v>
      </x:c>
      <x:c r="P39" s="35" t="n">
        <x:v>2</x:v>
      </x:c>
      <x:c r="Q39" s="35" t="n">
        <x:v>2</x:v>
      </x:c>
      <x:c r="R39" s="35" t="n">
        <x:v>1</x:v>
      </x:c>
      <x:c r="S39" s="35" t="n">
        <x:v>2</x:v>
      </x:c>
      <x:c r="T39" s="35" t="str">
        <x:v>Search-indexed official result announces the named procurement and lists Shandong Zhongke Changtian as first ranked</x:v>
      </x:c>
      <x:c r="U39" s="35" t="str">
        <x:v>2025-JKHYML-W4138 fibre-optic UAV-kit and open-source-flight-controller procurement</x:v>
      </x:c>
      <x:c r="V39" s="35" t="str">
        <x:v>Search index must be reconciled against full notice before inserting an award state; it does not demonstrate the supplier manufactured the named kit or controller</x:v>
      </x:c>
      <x:c r="W39" s="35" t="str">
        <x:v>Fibre-optic UAV kits and open-source flight-controller procurement result</x:v>
      </x:c>
      <x:c r="X39" s="35" t="str">
        <x:v>https://www.plap.mil.cn/freecms/site/juncai/ggxx/info/2025/8a1d04049afc00a8019b2154b45f4a58.html?noticeType=001024</x:v>
      </x:c>
    </x:row>
    <x:row r="40" ht="76" customHeight="1">
      <x:c r="A40" s="35" t="str">
        <x:v>CNSCE-EB802624EF</x:v>
      </x:c>
      <x:c r="B40" s="35" t="str">
        <x:v>CNSCA-11B1E004C9</x:v>
      </x:c>
      <x:c r="C40" s="35" t="str">
        <x:v>北京卓翼智能科技有限公司</x:v>
      </x:c>
      <x:c r="D40" s="35" t="str">
        <x:v>unmanned_platforms_swarming_and_mission_integration</x:v>
      </x:c>
      <x:c r="E40" s="35" t="str">
        <x:v>DRA-004</x:v>
      </x:c>
      <x:c r="F40" s="35" t="str">
        <x:v>2025-09-19</x:v>
      </x:c>
      <x:c r="G40" s="35" t="str">
        <x:v>preaward_or_nonfinal</x:v>
      </x:c>
      <x:c r="H40" s="35" t="str">
        <x:v>provisional_candidate_or_capability_signal</x:v>
      </x:c>
      <x:c r="I40" s="35" t="str">
        <x:v>High</x:v>
      </x:c>
      <x:c r="J40" s="35" t="str">
        <x:v>U1</x:v>
      </x:c>
      <x:c r="K40" s="35" t="str">
        <x:v>U1</x:v>
      </x:c>
      <x:c r="L40" s="35" t="n">
        <x:v>3</x:v>
      </x:c>
      <x:c r="M40" s="35" t="n">
        <x:v>3</x:v>
      </x:c>
      <x:c r="N40" s="35" t="n">
        <x:v>1</x:v>
      </x:c>
      <x:c r="O40" s="35" t="n">
        <x:v>2</x:v>
      </x:c>
      <x:c r="P40" s="35" t="n">
        <x:v>2</x:v>
      </x:c>
      <x:c r="Q40" s="35" t="n">
        <x:v>3</x:v>
      </x:c>
      <x:c r="R40" s="35" t="n">
        <x:v>1</x:v>
      </x:c>
      <x:c r="S40" s="35" t="n">
        <x:v>2</x:v>
      </x:c>
      <x:c r="T40" s="35" t="str">
        <x:v>Notice lists Zhuoyi as first candidate at RMB 130500; two other candidates are Beijing Zhongke Haodian and Beijing Taihang Shidai</x:v>
      </x:c>
      <x:c r="U40" s="35" t="str">
        <x:v>CSSC-X-10-251073-007 UAV platform customization</x:v>
      </x:c>
      <x:c r="V40" s="35" t="str">
        <x:v>Candidate notice is not an executed award and does not name a buyer or end user; score must not assume delivery or military fielding</x:v>
      </x:c>
      <x:c r="W40" s="35" t="str">
        <x:v>UAV platform customization transaction-candidate notice</x:v>
      </x:c>
      <x:c r="X40" s="35" t="str">
        <x:v>https://csscbidding.com/jyxx/003002/003002003/20250919/d89aff16-b40c-46c5-a6b0-78b05a3e9c36.html</x:v>
      </x:c>
    </x:row>
    <x:row r="41" ht="76" customHeight="1">
      <x:c r="A41" s="35" t="str">
        <x:v>CNSCE-058BF4FE89</x:v>
      </x:c>
      <x:c r="B41" s="35" t="str">
        <x:v>CNSCA-9E272B7B85</x:v>
      </x:c>
      <x:c r="C41" s="35" t="str">
        <x:v>北京星网宇达科技股份有限公司</x:v>
      </x:c>
      <x:c r="D41" s="35" t="str">
        <x:v>INS_EO_payloads_actuators_datalinks</x:v>
      </x:c>
      <x:c r="E41" s="35" t="str">
        <x:v>COMP-006</x:v>
      </x:c>
      <x:c r="F41" s="35" t="str">
        <x:v>2025-08-29</x:v>
      </x:c>
      <x:c r="G41" s="35" t="str">
        <x:v>not_procurement</x:v>
      </x:c>
      <x:c r="H41" s="35" t="str">
        <x:v>documented_military_role</x:v>
      </x:c>
      <x:c r="I41" s="35" t="str">
        <x:v>High</x:v>
      </x:c>
      <x:c r="J41" s="35" t="str">
        <x:v>U4</x:v>
      </x:c>
      <x:c r="K41" s="35" t="str">
        <x:v>U2</x:v>
      </x:c>
      <x:c r="L41" s="35" t="n">
        <x:v>4</x:v>
      </x:c>
      <x:c r="M41" s="35" t="n">
        <x:v>4</x:v>
      </x:c>
      <x:c r="N41" s="35" t="n">
        <x:v>4</x:v>
      </x:c>
      <x:c r="O41" s="35" t="n">
        <x:v>3</x:v>
      </x:c>
      <x:c r="P41" s="35" t="n">
        <x:v>3</x:v>
      </x:c>
      <x:c r="Q41" s="35" t="n">
        <x:v>4</x:v>
      </x:c>
      <x:c r="R41" s="35" t="n">
        <x:v>3</x:v>
      </x:c>
      <x:c r="S41" s="35" t="n">
        <x:v>3</x:v>
      </x:c>
      <x:c r="T41" s="35" t="str">
        <x:v>End-to-end core parts-to-platform capability; unmanned products used at scale by naval land and air services plus research/test bases; disclosed work on anti-interference actuators power and datalinks.</x:v>
      </x:c>
      <x:c r="U41" s="35" t="str">
        <x:v>Services research institutes and test bases unnamed</x:v>
      </x:c>
      <x:c r="V41" s="35" t="str">
        <x:v>Issuer disclosure lacks named buyer quantity or exact component-to-program link.</x:v>
      </x:c>
      <x:c r="W41" s="35" t="str">
        <x:v>北京星网宇达科技股份有限公司 — issuer_interim_report</x:v>
      </x:c>
      <x:c r="X41" s="35" t="str">
        <x:v>https://static.cninfo.com.cn/finalpage/2025-08-29/1224614260.PDF</x:v>
      </x:c>
    </x:row>
    <x:row r="42" ht="76" customHeight="1">
      <x:c r="A42" s="35" t="str">
        <x:v>CNSCE-F79AF16D26</x:v>
      </x:c>
      <x:c r="B42" s="35" t="str">
        <x:v>CNSCA-21CEE20030</x:v>
      </x:c>
      <x:c r="C42" s="35" t="str">
        <x:v>北京理工导航控制科技股份有限公司</x:v>
      </x:c>
      <x:c r="D42" s="35" t="str">
        <x:v>inertial_navigation_and_guidance</x:v>
      </x:c>
      <x:c r="E42" s="35" t="str">
        <x:v>COMP-001</x:v>
      </x:c>
      <x:c r="F42" s="35" t="str">
        <x:v>2025-08-29</x:v>
      </x:c>
      <x:c r="G42" s="35" t="str">
        <x:v>not_procurement</x:v>
      </x:c>
      <x:c r="H42" s="35" t="str">
        <x:v>direct_military_technical</x:v>
      </x:c>
      <x:c r="I42" s="35" t="str">
        <x:v>High</x:v>
      </x:c>
      <x:c r="J42" s="35" t="str">
        <x:v>U5</x:v>
      </x:c>
      <x:c r="K42" s="35" t="str">
        <x:v>U5</x:v>
      </x:c>
      <x:c r="L42" s="35" t="n">
        <x:v>4</x:v>
      </x:c>
      <x:c r="M42" s="35" t="n">
        <x:v>3</x:v>
      </x:c>
      <x:c r="N42" s="35" t="n">
        <x:v>2</x:v>
      </x:c>
      <x:c r="O42" s="35" t="n">
        <x:v>4</x:v>
      </x:c>
      <x:c r="P42" s="35" t="n">
        <x:v>4</x:v>
      </x:c>
      <x:c r="Q42" s="35" t="n">
        <x:v>3</x:v>
      </x:c>
      <x:c r="R42" s="35" t="n">
        <x:v>2</x:v>
      </x:c>
      <x:c r="S42" s="35" t="n">
        <x:v>4</x:v>
      </x:c>
      <x:c r="T42" s="35" t="str">
        <x:v>Inertial-navigation systems used in long-range precision-guided munitions; four finalized variants are sole supplier for their corresponding equipment.</x:v>
      </x:c>
      <x:c r="U42" s="35" t="str">
        <x:v>Customers and models redacted</x:v>
      </x:c>
      <x:c r="V42" s="35" t="str">
        <x:v>Do not infer weapon identity or named PLA customer from redacted model/customer fields.</x:v>
      </x:c>
      <x:c r="W42" s="35" t="str">
        <x:v>北京理工导航控制科技股份有限公司 — issuer_interim_report</x:v>
      </x:c>
      <x:c r="X42" s="35" t="str">
        <x:v>https://static.cninfo.com.cn/finalpage/2025-08-29/1224606049.PDF</x:v>
      </x:c>
    </x:row>
    <x:row r="43" ht="76" customHeight="1">
      <x:c r="A43" s="35" t="str">
        <x:v>CNSCE-2F2B03A852</x:v>
      </x:c>
      <x:c r="B43" s="35" t="str">
        <x:v>CNSCA-D93423905C</x:v>
      </x:c>
      <x:c r="C43" s="35" t="str">
        <x:v>杭州景业智能科技股份有限公司</x:v>
      </x:c>
      <x:c r="D43" s="35" t="str">
        <x:v>special_robots_and_quadruped_support</x:v>
      </x:c>
      <x:c r="E43" s="35" t="str">
        <x:v>COMP-027</x:v>
      </x:c>
      <x:c r="F43" s="35" t="str">
        <x:v>2025-08-28</x:v>
      </x:c>
      <x:c r="G43" s="35" t="str">
        <x:v>not_procurement</x:v>
      </x:c>
      <x:c r="H43" s="35" t="str">
        <x:v>documented_defense_business_direction</x:v>
      </x:c>
      <x:c r="I43" s="35" t="str">
        <x:v>Medium</x:v>
      </x:c>
      <x:c r="J43" s="35" t="str">
        <x:v>U4</x:v>
      </x:c>
      <x:c r="K43" s="35" t="str">
        <x:v>U2</x:v>
      </x:c>
      <x:c r="L43" s="35" t="n">
        <x:v>2</x:v>
      </x:c>
      <x:c r="M43" s="35" t="n">
        <x:v>4</x:v>
      </x:c>
      <x:c r="N43" s="35" t="n">
        <x:v>3</x:v>
      </x:c>
      <x:c r="O43" s="35" t="n">
        <x:v>2</x:v>
      </x:c>
      <x:c r="P43" s="35" t="n">
        <x:v>2</x:v>
      </x:c>
      <x:c r="Q43" s="35" t="n">
        <x:v>4</x:v>
      </x:c>
      <x:c r="R43" s="35" t="n">
        <x:v>2</x:v>
      </x:c>
      <x:c r="S43" s="35" t="n">
        <x:v>2</x:v>
      </x:c>
      <x:c r="T43" s="35" t="str">
        <x:v>Special robots and intelligent equipment applications in nuclear industry/national-defense sectors including quadrupeds support and information systems.</x:v>
      </x:c>
      <x:c r="U43" s="35" t="str">
        <x:v>No named defense award/customer</x:v>
      </x:c>
      <x:c r="V43" s="35" t="str">
        <x:v>Keep outside confirmed-supplier leaderboard absent relation-level award or program proof.</x:v>
      </x:c>
      <x:c r="W43" s="35" t="str">
        <x:v>杭州景业智能科技股份有限公司 — issuer_interim_report</x:v>
      </x:c>
      <x:c r="X43" s="35" t="str">
        <x:v>https://static.cninfo.com.cn/finalpage/2025-08-28/1224593800.PDF</x:v>
      </x:c>
    </x:row>
    <x:row r="44" ht="76" customHeight="1">
      <x:c r="A44" s="35" t="str">
        <x:v>CNSCE-4562F22B88</x:v>
      </x:c>
      <x:c r="B44" s="35" t="str">
        <x:v>CNSCA-1C6C4C19E3</x:v>
      </x:c>
      <x:c r="C44" s="35" t="str">
        <x:v>航天科技控股集团股份有限公司</x:v>
      </x:c>
      <x:c r="D44" s="35" t="str">
        <x:v>accelerometers_inertial_servo_and_test_equipment</x:v>
      </x:c>
      <x:c r="E44" s="35" t="str">
        <x:v>COMP-015</x:v>
      </x:c>
      <x:c r="F44" s="35" t="str">
        <x:v>2025-08-27</x:v>
      </x:c>
      <x:c r="G44" s="35" t="str">
        <x:v>not_procurement</x:v>
      </x:c>
      <x:c r="H44" s="35" t="str">
        <x:v>documented_defense_technical</x:v>
      </x:c>
      <x:c r="I44" s="35" t="str">
        <x:v>High</x:v>
      </x:c>
      <x:c r="J44" s="35" t="str">
        <x:v>U5</x:v>
      </x:c>
      <x:c r="K44" s="35" t="str">
        <x:v>U3</x:v>
      </x:c>
      <x:c r="L44" s="35" t="n">
        <x:v>4</x:v>
      </x:c>
      <x:c r="M44" s="35" t="n">
        <x:v>3</x:v>
      </x:c>
      <x:c r="N44" s="35" t="n">
        <x:v>4</x:v>
      </x:c>
      <x:c r="O44" s="35" t="n">
        <x:v>3</x:v>
      </x:c>
      <x:c r="P44" s="35" t="n">
        <x:v>3</x:v>
      </x:c>
      <x:c r="Q44" s="35" t="n">
        <x:v>3</x:v>
      </x:c>
      <x:c r="R44" s="35" t="n">
        <x:v>3</x:v>
      </x:c>
      <x:c r="S44" s="35" t="n">
        <x:v>3</x:v>
      </x:c>
      <x:c r="T44" s="35" t="str">
        <x:v>Accelerometers/inertial devices used in aerospace aviation shipbuilding and weapons; issuer calls them preferred inertial-navigation products for more than two decades and lists servo/actuator and ground-test equipment.</x:v>
      </x:c>
      <x:c r="U44" s="35" t="str">
        <x:v>No military platform/customer</x:v>
      </x:c>
      <x:c r="V44" s="35" t="str">
        <x:v>Direct space-mission contribution does not establish each listed product in a weapon.</x:v>
      </x:c>
      <x:c r="W44" s="35" t="str">
        <x:v>航天科技控股集团股份有限公司 — issuer_interim_report</x:v>
      </x:c>
      <x:c r="X44" s="35" t="str">
        <x:v>https://static.cninfo.com.cn/finalpage/2025-08-27/1224574611.PDF</x:v>
      </x:c>
    </x:row>
    <x:row r="45" ht="76" customHeight="1">
      <x:c r="A45" s="35" t="str">
        <x:v>CNSCE-43AD98C889</x:v>
      </x:c>
      <x:c r="B45" s="35" t="str">
        <x:v>CNSCA-C250E60D20</x:v>
      </x:c>
      <x:c r="C45" s="35" t="str">
        <x:v>广东熙瑞智能科技有限公司</x:v>
      </x:c>
      <x:c r="D45" s="35" t="str">
        <x:v>robotic_grinding_and_shipyard_production_automation</x:v>
      </x:c>
      <x:c r="E45" s="35" t="str">
        <x:v>DRA-002</x:v>
      </x:c>
      <x:c r="F45" s="35" t="str">
        <x:v>2025-08-25</x:v>
      </x:c>
      <x:c r="G45" s="35" t="str">
        <x:v>completed_award</x:v>
      </x:c>
      <x:c r="H45" s="35" t="str">
        <x:v>final_award_production_automation</x:v>
      </x:c>
      <x:c r="I45" s="35" t="str">
        <x:v>High</x:v>
      </x:c>
      <x:c r="J45" s="35" t="str">
        <x:v>U2</x:v>
      </x:c>
      <x:c r="K45" s="35" t="str">
        <x:v>U2</x:v>
      </x:c>
      <x:c r="L45" s="35" t="n">
        <x:v>3</x:v>
      </x:c>
      <x:c r="M45" s="35" t="n">
        <x:v>3</x:v>
      </x:c>
      <x:c r="N45" s="35" t="n">
        <x:v>1</x:v>
      </x:c>
      <x:c r="O45" s="35" t="n">
        <x:v>4</x:v>
      </x:c>
      <x:c r="P45" s="35" t="n">
        <x:v>2</x:v>
      </x:c>
      <x:c r="Q45" s="35" t="n">
        <x:v>3</x:v>
      </x:c>
      <x:c r="R45" s="35" t="n">
        <x:v>1</x:v>
      </x:c>
      <x:c r="S45" s="35" t="n">
        <x:v>4</x:v>
      </x:c>
      <x:c r="T45" s="35" t="str">
        <x:v>Final result identifies Guangdong Xirui as winner at RMB 2450000 for a digital very-small-parts grinding robot workstation</x:v>
      </x:c>
      <x:c r="U45" s="35" t="str">
        <x:v>Shanghai Waigaoqiao Shipbuilding high-end ship-design-production-supply-chain intelligent-manufacturing project</x:v>
      </x:c>
      <x:c r="V45" s="35" t="str">
        <x:v>Do not aggregate prices into company revenue; this is still a specific shipyard automation contract</x:v>
      </x:c>
      <x:c r="W45" s="35" t="str">
        <x:v>Shanghai Waigaoqiao Shipbuilding digital very-small-parts grinding robot workstation result</x:v>
      </x:c>
      <x:c r="X45" s="35" t="str">
        <x:v>https://csscbidding.com/jyxx/003001/003001004/20250825/fc564718-4800-43a3-b82a-02c5058139fe.html</x:v>
      </x:c>
    </x:row>
    <x:row r="46" ht="76" customHeight="1">
      <x:c r="A46" s="35" t="str">
        <x:v>CNSCE-540AFB62AF</x:v>
      </x:c>
      <x:c r="B46" s="35" t="str">
        <x:v>CNSCA-C250E60D20</x:v>
      </x:c>
      <x:c r="C46" s="35" t="str">
        <x:v>广东熙瑞智能科技有限公司</x:v>
      </x:c>
      <x:c r="D46" s="35" t="str">
        <x:v>robotic_grinding_and_shipyard_production_automation</x:v>
      </x:c>
      <x:c r="E46" s="35" t="str">
        <x:v>DRA-001</x:v>
      </x:c>
      <x:c r="F46" s="35" t="str">
        <x:v>2025-08-25</x:v>
      </x:c>
      <x:c r="G46" s="35" t="str">
        <x:v>completed_award</x:v>
      </x:c>
      <x:c r="H46" s="35" t="str">
        <x:v>final_award_production_automation</x:v>
      </x:c>
      <x:c r="I46" s="35" t="str">
        <x:v>High</x:v>
      </x:c>
      <x:c r="J46" s="35" t="str">
        <x:v>U2</x:v>
      </x:c>
      <x:c r="K46" s="35" t="str">
        <x:v>U2</x:v>
      </x:c>
      <x:c r="L46" s="35" t="n">
        <x:v>3</x:v>
      </x:c>
      <x:c r="M46" s="35" t="n">
        <x:v>3</x:v>
      </x:c>
      <x:c r="N46" s="35" t="n">
        <x:v>1</x:v>
      </x:c>
      <x:c r="O46" s="35" t="n">
        <x:v>4</x:v>
      </x:c>
      <x:c r="P46" s="35" t="n">
        <x:v>2</x:v>
      </x:c>
      <x:c r="Q46" s="35" t="n">
        <x:v>3</x:v>
      </x:c>
      <x:c r="R46" s="35" t="n">
        <x:v>1</x:v>
      </x:c>
      <x:c r="S46" s="35" t="n">
        <x:v>4</x:v>
      </x:c>
      <x:c r="T46" s="35" t="str">
        <x:v>Final result identifies Guangdong Xirui as winner at RMB 7920000 for a digital small-parts grinding robot workstation</x:v>
      </x:c>
      <x:c r="U46" s="35" t="str">
        <x:v>Shanghai Waigaoqiao Shipbuilding high-end ship-design-production-supply-chain intelligent-manufacturing project</x:v>
      </x:c>
      <x:c r="V46" s="35" t="str">
        <x:v>This confirms supply of a production workstation to a CSSC shipyard; it does not prove supply of a weapon or unmanned-platform subsystem</x:v>
      </x:c>
      <x:c r="W46" s="35" t="str">
        <x:v>Shanghai Waigaoqiao Shipbuilding digital small-parts grinding robot workstation result</x:v>
      </x:c>
      <x:c r="X46" s="35" t="str">
        <x:v>https://csscbidding.com/jyxx/003001/003001004/20250825/5a186f89-8939-4634-9bdc-bb09d21cbcbb.html</x:v>
      </x:c>
    </x:row>
    <x:row r="47" ht="76" customHeight="1">
      <x:c r="A47" s="35" t="str">
        <x:v>CNSCE-054FCD24E1</x:v>
      </x:c>
      <x:c r="B47" s="35" t="str">
        <x:v>CNSCA-D11C362C85</x:v>
      </x:c>
      <x:c r="C47" s="35" t="str">
        <x:v>湖南航天环宇通信科技股份有限公司</x:v>
      </x:c>
      <x:c r="D47" s="35" t="str">
        <x:v>space_microwave_inertial_components_and_antennas</x:v>
      </x:c>
      <x:c r="E47" s="35" t="str">
        <x:v>COMP-018</x:v>
      </x:c>
      <x:c r="F47" s="35" t="str">
        <x:v>2025-08-15</x:v>
      </x:c>
      <x:c r="G47" s="35" t="str">
        <x:v>not_procurement</x:v>
      </x:c>
      <x:c r="H47" s="35" t="str">
        <x:v>documented_aerospace_technical</x:v>
      </x:c>
      <x:c r="I47" s="35" t="str">
        <x:v>High</x:v>
      </x:c>
      <x:c r="J47" s="35" t="str">
        <x:v>U5</x:v>
      </x:c>
      <x:c r="K47" s="35" t="str">
        <x:v>U4</x:v>
      </x:c>
      <x:c r="L47" s="35" t="n">
        <x:v>3</x:v>
      </x:c>
      <x:c r="M47" s="35" t="n">
        <x:v>3</x:v>
      </x:c>
      <x:c r="N47" s="35" t="n">
        <x:v>3</x:v>
      </x:c>
      <x:c r="O47" s="35" t="n">
        <x:v>4</x:v>
      </x:c>
      <x:c r="P47" s="35" t="n">
        <x:v>3</x:v>
      </x:c>
      <x:c r="Q47" s="35" t="n">
        <x:v>3</x:v>
      </x:c>
      <x:c r="R47" s="35" t="n">
        <x:v>2</x:v>
      </x:c>
      <x:c r="S47" s="35" t="n">
        <x:v>4</x:v>
      </x:c>
      <x:c r="T47" s="35" t="str">
        <x:v>Developed microwave mechanisms structures thermal-control and inertial components for crewed spaceflight BeiDou lunar/Mars remote-sensing and communication satellites; reports batch antenna deliveries.</x:v>
      </x:c>
      <x:c r="U47" s="35" t="str">
        <x:v>End user/platform quantities absent</x:v>
      </x:c>
      <x:c r="V47" s="35" t="str">
        <x:v>High aerospace relevance but military end use not named.</x:v>
      </x:c>
      <x:c r="W47" s="35" t="str">
        <x:v>湖南航天环宇通信科技股份有限公司 — issuer_interim_report</x:v>
      </x:c>
      <x:c r="X47" s="35" t="str">
        <x:v>https://static.cninfo.com.cn/finalpage/2025-08-15/1224487074.PDF</x:v>
      </x:c>
    </x:row>
    <x:row r="48" ht="76" customHeight="1">
      <x:c r="A48" s="35" t="str">
        <x:v>CNSCE-EA75F779DE</x:v>
      </x:c>
      <x:c r="B48" s="35" t="str">
        <x:v>CNSCA-2C1763D53F</x:v>
      </x:c>
      <x:c r="C48" s="35" t="str">
        <x:v>国科天成科技股份有限公司</x:v>
      </x:c>
      <x:c r="D48" s="35" t="str">
        <x:v>cooled_and_uncooled_IR_detectors</x:v>
      </x:c>
      <x:c r="E48" s="35" t="str">
        <x:v>COMP-028</x:v>
      </x:c>
      <x:c r="F48" s="35" t="str">
        <x:v>2025-05-13</x:v>
      </x:c>
      <x:c r="G48" s="35" t="str">
        <x:v>not_procurement</x:v>
      </x:c>
      <x:c r="H48" s="35" t="str">
        <x:v>technical_production_evidence</x:v>
      </x:c>
      <x:c r="I48" s="35" t="str">
        <x:v>Medium</x:v>
      </x:c>
      <x:c r="J48" s="35" t="str">
        <x:v>U4</x:v>
      </x:c>
      <x:c r="K48" s="35" t="str">
        <x:v>U4</x:v>
      </x:c>
      <x:c r="L48" s="35" t="n">
        <x:v>3</x:v>
      </x:c>
      <x:c r="M48" s="35" t="n">
        <x:v>4</x:v>
      </x:c>
      <x:c r="N48" s="35" t="n">
        <x:v>3</x:v>
      </x:c>
      <x:c r="O48" s="35" t="n">
        <x:v>2</x:v>
      </x:c>
      <x:c r="P48" s="35" t="n">
        <x:v>3</x:v>
      </x:c>
      <x:c r="Q48" s="35" t="n">
        <x:v>4</x:v>
      </x:c>
      <x:c r="R48" s="35" t="n">
        <x:v>2</x:v>
      </x:c>
      <x:c r="S48" s="35" t="n">
        <x:v>2</x:v>
      </x:c>
      <x:c r="T48" s="35" t="str">
        <x:v>Cooled/uncooled IR detectors optics and Type-II-superlattice technology; disclosed batch supply/expansion and IR-sighting applications.</x:v>
      </x:c>
      <x:c r="U48" s="35" t="str">
        <x:v>No defense buyer</x:v>
      </x:c>
      <x:c r="V48" s="35" t="str">
        <x:v>Do not infer military customer from IR-sighting application.</x:v>
      </x:c>
      <x:c r="W48" s="35" t="str">
        <x:v>国科天成科技股份有限公司 — issuer_investor_record</x:v>
      </x:c>
      <x:c r="X48" s="35" t="str">
        <x:v>https://static.cninfo.com.cn/finalpage/2025-05-13/1223535717.PDF</x:v>
      </x:c>
    </x:row>
    <x:row r="49" ht="76" customHeight="1">
      <x:c r="A49" s="35" t="str">
        <x:v>CNSCE-E7F2858C4D</x:v>
      </x:c>
      <x:c r="B49" s="35" t="str">
        <x:v>CNSCA-22CBBC4638</x:v>
      </x:c>
      <x:c r="C49" s="35" t="str">
        <x:v>上海瀚讯信息技术股份有限公司</x:v>
      </x:c>
      <x:c r="D49" s="35" t="str">
        <x:v>private_4G_5G_self_organizing_anti_jam_comms</x:v>
      </x:c>
      <x:c r="E49" s="35" t="str">
        <x:v>COMP-037</x:v>
      </x:c>
      <x:c r="F49" s="35" t="str">
        <x:v>2025-04-29</x:v>
      </x:c>
      <x:c r="G49" s="35" t="str">
        <x:v>not_procurement</x:v>
      </x:c>
      <x:c r="H49" s="35" t="str">
        <x:v>defense_relevant_technical</x:v>
      </x:c>
      <x:c r="I49" s="35" t="str">
        <x:v>Medium</x:v>
      </x:c>
      <x:c r="J49" s="35" t="str">
        <x:v>U4</x:v>
      </x:c>
      <x:c r="K49" s="35" t="str">
        <x:v>U3</x:v>
      </x:c>
      <x:c r="L49" s="35" t="n">
        <x:v>3</x:v>
      </x:c>
      <x:c r="M49" s="35" t="n">
        <x:v>3</x:v>
      </x:c>
      <x:c r="N49" s="35" t="n">
        <x:v>4</x:v>
      </x:c>
      <x:c r="O49" s="35" t="n">
        <x:v>2</x:v>
      </x:c>
      <x:c r="P49" s="35" t="n">
        <x:v>3</x:v>
      </x:c>
      <x:c r="Q49" s="35" t="n">
        <x:v>3</x:v>
      </x:c>
      <x:c r="R49" s="35" t="n">
        <x:v>3</x:v>
      </x:c>
      <x:c r="S49" s="35" t="n">
        <x:v>2</x:v>
      </x:c>
      <x:c r="T49" s="35" t="str">
        <x:v>Chip-to-system communications stack; type-qualified/in-development land sea air space equipment; innovations include high-mobility self-organizing spectrum-sensing broadband anti-jam and self-synchronization; LEO-constellation comm subsystem responsibility.</x:v>
      </x:c>
      <x:c r="U49" s="35" t="str">
        <x:v>End customers and model identifiers unnamed</x:v>
      </x:c>
      <x:c r="V49" s="35" t="str">
        <x:v>Gate military-supplier rank contribution on buyer/award/qualification link.</x:v>
      </x:c>
      <x:c r="W49" s="35" t="str">
        <x:v>上海瀚讯信息技术股份有限公司 — issuer_annual_report</x:v>
      </x:c>
      <x:c r="X49" s="35" t="str">
        <x:v>https://static.cninfo.com.cn/finalpage/2025-04-29/1223369122.PDF</x:v>
      </x:c>
    </x:row>
    <x:row r="50" ht="76" customHeight="1">
      <x:c r="A50" s="35" t="str">
        <x:v>CNSCE-F74BBE9C2F</x:v>
      </x:c>
      <x:c r="B50" s="35" t="str">
        <x:v>CNSCA-A63BD1FF74</x:v>
      </x:c>
      <x:c r="C50" s="35" t="str">
        <x:v>北京晶品特装科技股份有限公司</x:v>
      </x:c>
      <x:c r="D50" s="35" t="str">
        <x:v>military_robot_motion_and_EO_modules</x:v>
      </x:c>
      <x:c r="E50" s="35" t="str">
        <x:v>COMP-017</x:v>
      </x:c>
      <x:c r="F50" s="35" t="str">
        <x:v>2025-04-29</x:v>
      </x:c>
      <x:c r="G50" s="35" t="str">
        <x:v>not_procurement</x:v>
      </x:c>
      <x:c r="H50" s="35" t="str">
        <x:v>direct_military_technical</x:v>
      </x:c>
      <x:c r="I50" s="35" t="str">
        <x:v>High</x:v>
      </x:c>
      <x:c r="J50" s="35" t="str">
        <x:v>U4</x:v>
      </x:c>
      <x:c r="K50" s="35" t="str">
        <x:v>U4</x:v>
      </x:c>
      <x:c r="L50" s="35" t="n">
        <x:v>3</x:v>
      </x:c>
      <x:c r="M50" s="35" t="n">
        <x:v>4</x:v>
      </x:c>
      <x:c r="N50" s="35" t="n">
        <x:v>3</x:v>
      </x:c>
      <x:c r="O50" s="35" t="n">
        <x:v>4</x:v>
      </x:c>
      <x:c r="P50" s="35" t="n">
        <x:v>3</x:v>
      </x:c>
      <x:c r="Q50" s="35" t="n">
        <x:v>4</x:v>
      </x:c>
      <x:c r="R50" s="35" t="n">
        <x:v>2</x:v>
      </x:c>
      <x:c r="S50" s="35" t="n">
        <x:v>4</x:v>
      </x:c>
      <x:c r="T50" s="35" t="str">
        <x:v>Military robotics business; efficient power drive adaptive chassis adaptive multi-DoF arm and human-machine control at mass-production stage; multi-sensor/mini EO gimbal in mass production.</x:v>
      </x:c>
      <x:c r="U50" s="35" t="str">
        <x:v>No named military end user</x:v>
      </x:c>
      <x:c r="V50" s="35" t="str">
        <x:v>Treat as robot integrator/upstream module developer; payload project at initial flight test remains R&amp;D.</x:v>
      </x:c>
      <x:c r="W50" s="35" t="str">
        <x:v>北京晶品特装科技股份有限公司 — issuer_annual_report</x:v>
      </x:c>
      <x:c r="X50" s="35" t="str">
        <x:v>https://static.cninfo.com.cn/finalpage/2025-04-29/1223380866.PDF</x:v>
      </x:c>
    </x:row>
    <x:row r="51" ht="76" customHeight="1">
      <x:c r="A51" s="35" t="str">
        <x:v>CNSCE-5BC356CD5D</x:v>
      </x:c>
      <x:c r="B51" s="35" t="str">
        <x:v>CNSCA-9E272B7B85</x:v>
      </x:c>
      <x:c r="C51" s="35" t="str">
        <x:v>北京星网宇达科技股份有限公司</x:v>
      </x:c>
      <x:c r="D51" s="35" t="str">
        <x:v>INS_EO_payloads_actuators_datalinks</x:v>
      </x:c>
      <x:c r="E51" s="35" t="str">
        <x:v>COMP-007</x:v>
      </x:c>
      <x:c r="F51" s="35" t="str">
        <x:v>2025-04-28</x:v>
      </x:c>
      <x:c r="G51" s="35" t="str">
        <x:v>not_procurement</x:v>
      </x:c>
      <x:c r="H51" s="35" t="str">
        <x:v>dual_use_technical</x:v>
      </x:c>
      <x:c r="I51" s="35" t="str">
        <x:v>Medium</x:v>
      </x:c>
      <x:c r="J51" s="35" t="str">
        <x:v>U3</x:v>
      </x:c>
      <x:c r="K51" s="35" t="str">
        <x:v>U2</x:v>
      </x:c>
      <x:c r="L51" s="35" t="n">
        <x:v>3</x:v>
      </x:c>
      <x:c r="M51" s="35" t="n">
        <x:v>3</x:v>
      </x:c>
      <x:c r="N51" s="35" t="n">
        <x:v>4</x:v>
      </x:c>
      <x:c r="O51" s="35" t="n">
        <x:v>2</x:v>
      </x:c>
      <x:c r="P51" s="35" t="n">
        <x:v>3</x:v>
      </x:c>
      <x:c r="Q51" s="35" t="n">
        <x:v>3</x:v>
      </x:c>
      <x:c r="R51" s="35" t="n">
        <x:v>2</x:v>
      </x:c>
      <x:c r="S51" s="35" t="n">
        <x:v>2</x:v>
      </x:c>
      <x:c r="T51" s="35" t="str">
        <x:v>Portfolio covers INS EO gimbals SATCOM and UAV/UGV/USV systems; disclosed integrated INS/satellite-navigation and EO gimbals for unmanned platforms.</x:v>
      </x:c>
      <x:c r="U51" s="35" t="str">
        <x:v>No current military buyer identified</x:v>
      </x:c>
      <x:c r="V51" s="35" t="str">
        <x:v>Military procurement-qualification restrictions reduced 2024 orders; do not treat platform relevance as proof of current military UAV supply.</x:v>
      </x:c>
      <x:c r="W51" s="35" t="str">
        <x:v>北京星网宇达科技股份有限公司 — issuer_annual_report</x:v>
      </x:c>
      <x:c r="X51" s="35" t="str">
        <x:v>https://static.cninfo.com.cn/finalpage/2025-04-28/1223316273.PDF</x:v>
      </x:c>
    </x:row>
    <x:row r="52" ht="76" customHeight="1">
      <x:c r="A52" s="35" t="str">
        <x:v>CNSCE-35866E15DE</x:v>
      </x:c>
      <x:c r="B52" s="35" t="str">
        <x:v>CNSCA-E3A27AE0AB</x:v>
      </x:c>
      <x:c r="C52" s="35" t="str">
        <x:v>西安天和防务技术股份有限公司</x:v>
      </x:c>
      <x:c r="D52" s="35" t="str">
        <x:v>RF_ferrites_and_circulators</x:v>
      </x:c>
      <x:c r="E52" s="35" t="str">
        <x:v>COMP-029</x:v>
      </x:c>
      <x:c r="F52" s="35" t="str">
        <x:v>2025-04-25</x:v>
      </x:c>
      <x:c r="G52" s="35" t="str">
        <x:v>not_procurement</x:v>
      </x:c>
      <x:c r="H52" s="35" t="str">
        <x:v>dual_use_technical</x:v>
      </x:c>
      <x:c r="I52" s="35" t="str">
        <x:v>Medium</x:v>
      </x:c>
      <x:c r="J52" s="35" t="str">
        <x:v>U5</x:v>
      </x:c>
      <x:c r="K52" s="35" t="str">
        <x:v>U4</x:v>
      </x:c>
      <x:c r="L52" s="35" t="n">
        <x:v>2</x:v>
      </x:c>
      <x:c r="M52" s="35" t="n">
        <x:v>3</x:v>
      </x:c>
      <x:c r="N52" s="35" t="n">
        <x:v>3</x:v>
      </x:c>
      <x:c r="O52" s="35" t="n">
        <x:v>2</x:v>
      </x:c>
      <x:c r="P52" s="35" t="n">
        <x:v>2</x:v>
      </x:c>
      <x:c r="Q52" s="35" t="n">
        <x:v>3</x:v>
      </x:c>
      <x:c r="R52" s="35" t="n">
        <x:v>2</x:v>
      </x:c>
      <x:c r="S52" s="35" t="n">
        <x:v>2</x:v>
      </x:c>
      <x:c r="T52" s="35" t="str">
        <x:v>Ferrite materials/circulators from low-frequency through millimeter wave for civil/military radar and satellite communications; batch supply to major equipment makers.</x:v>
      </x:c>
      <x:c r="U52" s="35" t="str">
        <x:v>Major equipment makers unnamed</x:v>
      </x:c>
      <x:c r="V52" s="35" t="str">
        <x:v>Application statement is not a named military-customer relationship.</x:v>
      </x:c>
      <x:c r="W52" s="35" t="str">
        <x:v>西安天和防务技术股份有限公司 — issuer_annual_report</x:v>
      </x:c>
      <x:c r="X52" s="35" t="str">
        <x:v>https://static.cninfo.com.cn/finalpage/2025-04-25/1223271956.PDF</x:v>
      </x:c>
    </x:row>
    <x:row r="53" ht="76" customHeight="1">
      <x:c r="A53" s="35" t="str">
        <x:v>CNSCE-5DC97FB69C</x:v>
      </x:c>
      <x:c r="B53" s="35" t="str">
        <x:v>CNSCA-4C8F5E8482</x:v>
      </x:c>
      <x:c r="C53" s="35" t="str">
        <x:v>深圳市科思科技股份有限公司</x:v>
      </x:c>
      <x:c r="D53" s="35" t="str">
        <x:v>UAV_swarm_mesh_and_mission_computing</x:v>
      </x:c>
      <x:c r="E53" s="35" t="str">
        <x:v>COMP-026</x:v>
      </x:c>
      <x:c r="F53" s="35" t="str">
        <x:v>2025-04-25</x:v>
      </x:c>
      <x:c r="G53" s="35" t="str">
        <x:v>not_procurement</x:v>
      </x:c>
      <x:c r="H53" s="35" t="str">
        <x:v>engineering_development</x:v>
      </x:c>
      <x:c r="I53" s="35" t="str">
        <x:v>High</x:v>
      </x:c>
      <x:c r="J53" s="35" t="str">
        <x:v>U2</x:v>
      </x:c>
      <x:c r="K53" s="35" t="str">
        <x:v>U2</x:v>
      </x:c>
      <x:c r="L53" s="35" t="n">
        <x:v>3</x:v>
      </x:c>
      <x:c r="M53" s="35" t="n">
        <x:v>4</x:v>
      </x:c>
      <x:c r="N53" s="35" t="n">
        <x:v>3</x:v>
      </x:c>
      <x:c r="O53" s="35" t="n">
        <x:v>3</x:v>
      </x:c>
      <x:c r="P53" s="35" t="n">
        <x:v>3</x:v>
      </x:c>
      <x:c r="Q53" s="35" t="n">
        <x:v>4</x:v>
      </x:c>
      <x:c r="R53" s="35" t="n">
        <x:v>2</x:v>
      </x:c>
      <x:c r="S53" s="35" t="n">
        <x:v>3</x:v>
      </x:c>
      <x:c r="T53" s="35" t="str">
        <x:v>Mesh-network terminal naval-environment switch and UAV-swarm communications system are engineering-development projects; swarm system includes autonomous identification and self-networking.</x:v>
      </x:c>
      <x:c r="U53" s="35" t="str">
        <x:v>No completed production award</x:v>
      </x:c>
      <x:c r="V53" s="35" t="str">
        <x:v>High-innovation watch candidate only; do not add as established supplier.</x:v>
      </x:c>
      <x:c r="W53" s="35" t="str">
        <x:v>深圳市科思科技股份有限公司 — issuer_annual_report</x:v>
      </x:c>
      <x:c r="X53" s="35" t="str">
        <x:v>https://static.cninfo.com.cn/finalpage/2025-04-25/1223284788.PDF</x:v>
      </x:c>
    </x:row>
    <x:row r="54" ht="76" customHeight="1">
      <x:c r="A54" s="35" t="str">
        <x:v>CNSCE-8C14C4EE0F</x:v>
      </x:c>
      <x:c r="B54" s="35" t="str">
        <x:v>CNSCA-EDBD70594B</x:v>
      </x:c>
      <x:c r="C54" s="35" t="str">
        <x:v>武汉高德红外股份有限公司</x:v>
      </x:c>
      <x:c r="D54" s="35" t="str">
        <x:v>IR_detectors_and_EO_systems</x:v>
      </x:c>
      <x:c r="E54" s="35" t="str">
        <x:v>COMP-004</x:v>
      </x:c>
      <x:c r="F54" s="35" t="str">
        <x:v>2025-04-25</x:v>
      </x:c>
      <x:c r="G54" s="35" t="str">
        <x:v>not_procurement</x:v>
      </x:c>
      <x:c r="H54" s="35" t="str">
        <x:v>direct_military_technical</x:v>
      </x:c>
      <x:c r="I54" s="35" t="str">
        <x:v>High</x:v>
      </x:c>
      <x:c r="J54" s="35" t="str">
        <x:v>U5</x:v>
      </x:c>
      <x:c r="K54" s="35" t="str">
        <x:v>U4</x:v>
      </x:c>
      <x:c r="L54" s="35" t="n">
        <x:v>4</x:v>
      </x:c>
      <x:c r="M54" s="35" t="n">
        <x:v>3</x:v>
      </x:c>
      <x:c r="N54" s="35" t="n">
        <x:v>4</x:v>
      </x:c>
      <x:c r="O54" s="35" t="n">
        <x:v>4</x:v>
      </x:c>
      <x:c r="P54" s="35" t="n">
        <x:v>3</x:v>
      </x:c>
      <x:c r="Q54" s="35" t="n">
        <x:v>3</x:v>
      </x:c>
      <x:c r="R54" s="35" t="n">
        <x:v>2</x:v>
      </x:c>
      <x:c r="S54" s="35" t="n">
        <x:v>4</x:v>
      </x:c>
      <x:c r="T54" s="35" t="str">
        <x:v>Indigenous non-cooled HgCdTe and Type-II-superlattice detector lines; high-end detectors equipped in quantity on multiple domestic high-end systems; domestic batch procurement first delivery completed.</x:v>
      </x:c>
      <x:c r="U54" s="35" t="str">
        <x:v>Military equipment users prime contractors and defense R&amp;D institutes; no names</x:v>
      </x:c>
      <x:c r="V54" s="35" t="str">
        <x:v>Exact systems/models/buyers withheld; do not turn 'high-end systems' into named platforms.</x:v>
      </x:c>
      <x:c r="W54" s="35" t="str">
        <x:v>武汉高德红外股份有限公司 — issuer_annual_report</x:v>
      </x:c>
      <x:c r="X54" s="35" t="str">
        <x:v>https://static.cninfo.com.cn/finalpage/2025-04-25/1223276595.PDF</x:v>
      </x:c>
    </x:row>
    <x:row r="55" ht="76" customHeight="1">
      <x:c r="A55" s="35" t="str">
        <x:v>CNSCE-8A6F6AE4B9</x:v>
      </x:c>
      <x:c r="B55" s="35" t="str">
        <x:v>CNSCA-CE7C7723D4</x:v>
      </x:c>
      <x:c r="C55" s="35" t="str">
        <x:v>长沙景嘉微电子股份有限公司</x:v>
      </x:c>
      <x:c r="D55" s="35" t="str">
        <x:v>high_reliability_GPU_and_radar_signal_processing</x:v>
      </x:c>
      <x:c r="E55" s="35" t="str">
        <x:v>COMP-036</x:v>
      </x:c>
      <x:c r="F55" s="35" t="str">
        <x:v>2025-04-24</x:v>
      </x:c>
      <x:c r="G55" s="35" t="str">
        <x:v>not_procurement</x:v>
      </x:c>
      <x:c r="H55" s="35" t="str">
        <x:v>special_market_technical</x:v>
      </x:c>
      <x:c r="I55" s="35" t="str">
        <x:v>Medium</x:v>
      </x:c>
      <x:c r="J55" s="35" t="str">
        <x:v>U4</x:v>
      </x:c>
      <x:c r="K55" s="35" t="str">
        <x:v>U4</x:v>
      </x:c>
      <x:c r="L55" s="35" t="n">
        <x:v>3</x:v>
      </x:c>
      <x:c r="M55" s="35" t="n">
        <x:v>4</x:v>
      </x:c>
      <x:c r="N55" s="35" t="n">
        <x:v>4</x:v>
      </x:c>
      <x:c r="O55" s="35" t="n">
        <x:v>2</x:v>
      </x:c>
      <x:c r="P55" s="35" t="n">
        <x:v>3</x:v>
      </x:c>
      <x:c r="Q55" s="35" t="n">
        <x:v>4</x:v>
      </x:c>
      <x:c r="R55" s="35" t="n">
        <x:v>2</x:v>
      </x:c>
      <x:c r="S55" s="35" t="n">
        <x:v>2</x:v>
      </x:c>
      <x:c r="T55" s="35" t="str">
        <x:v>High-reliability electronics in special market including graphics/display control specialized radar and chips; GPU/chip modules reaching AI training inference/scientific computing with some batch deliveries.</x:v>
      </x:c>
      <x:c r="U55" s="35" t="str">
        <x:v>No military buyer identified</x:v>
      </x:c>
      <x:c r="V55" s="35" t="str">
        <x:v>Fabless status alone is not a foreign-foundry/dependency claim.</x:v>
      </x:c>
      <x:c r="W55" s="35" t="str">
        <x:v>长沙景嘉微电子股份有限公司 — issuer_annual_report</x:v>
      </x:c>
      <x:c r="X55" s="35" t="str">
        <x:v>https://static.cninfo.com.cn/finalpage/2025-04-24/1223239399.PDF</x:v>
      </x:c>
    </x:row>
    <x:row r="56" ht="76" customHeight="1">
      <x:c r="A56" s="35" t="str">
        <x:v>CNSCE-075E8AC193</x:v>
      </x:c>
      <x:c r="B56" s="35" t="str">
        <x:v>CNSCA-2C9245B437</x:v>
      </x:c>
      <x:c r="C56" s="35" t="str">
        <x:v>天津七一二通信广播股份有限公司</x:v>
      </x:c>
      <x:c r="D56" s="35" t="str">
        <x:v>military_wireless_and_unattended_system_comms</x:v>
      </x:c>
      <x:c r="E56" s="35" t="str">
        <x:v>COMP-032</x:v>
      </x:c>
      <x:c r="F56" s="35" t="str">
        <x:v>2025-04-23</x:v>
      </x:c>
      <x:c r="G56" s="35" t="str">
        <x:v>not_procurement</x:v>
      </x:c>
      <x:c r="H56" s="35" t="str">
        <x:v>direct_military_technical</x:v>
      </x:c>
      <x:c r="I56" s="35" t="str">
        <x:v>High</x:v>
      </x:c>
      <x:c r="J56" s="35" t="str">
        <x:v>U5</x:v>
      </x:c>
      <x:c r="K56" s="35" t="str">
        <x:v>U3</x:v>
      </x:c>
      <x:c r="L56" s="35" t="n">
        <x:v>4</x:v>
      </x:c>
      <x:c r="M56" s="35" t="n">
        <x:v>3</x:v>
      </x:c>
      <x:c r="N56" s="35" t="n">
        <x:v>4</x:v>
      </x:c>
      <x:c r="O56" s="35" t="n">
        <x:v>4</x:v>
      </x:c>
      <x:c r="P56" s="35" t="n">
        <x:v>3</x:v>
      </x:c>
      <x:c r="Q56" s="35" t="n">
        <x:v>3</x:v>
      </x:c>
      <x:c r="R56" s="35" t="n">
        <x:v>3</x:v>
      </x:c>
      <x:c r="S56" s="35" t="n">
        <x:v>4</x:v>
      </x:c>
      <x:c r="T56" s="35" t="str">
        <x:v>Core supplier of dedicated wireless communications with complete R&amp;D/manufacturing qualifications; equipment spans handheld vehicle aircraft ship and missile systems and expands into unattended-system communications.</x:v>
      </x:c>
      <x:c r="U56" s="35" t="str">
        <x:v>Buyer not named</x:v>
      </x:c>
      <x:c r="V56" s="35" t="str">
        <x:v>Multi-supplier market; no sole-source inference.</x:v>
      </x:c>
      <x:c r="W56" s="35" t="str">
        <x:v>天津七一二通信广播股份有限公司 — issuer_annual_report</x:v>
      </x:c>
      <x:c r="X56" s="35" t="str">
        <x:v>https://static.cninfo.com.cn/finalpage/2025-04-23/1223214852.PDF</x:v>
      </x:c>
    </x:row>
    <x:row r="57" ht="76" customHeight="1">
      <x:c r="A57" s="35" t="str">
        <x:v>CNSCE-1B8928297A</x:v>
      </x:c>
      <x:c r="B57" s="35" t="str">
        <x:v>CNSCA-266AD89280</x:v>
      </x:c>
      <x:c r="C57" s="35" t="str">
        <x:v>浙江铖昌科技股份有限公司</x:v>
      </x:c>
      <x:c r="D57" s="35" t="str">
        <x:v>GaN_GaAs_phased_array_TR_chips</x:v>
      </x:c>
      <x:c r="E57" s="35" t="str">
        <x:v>COMP-013</x:v>
      </x:c>
      <x:c r="F57" s="35" t="str">
        <x:v>2025-04-23</x:v>
      </x:c>
      <x:c r="G57" s="35" t="str">
        <x:v>not_procurement</x:v>
      </x:c>
      <x:c r="H57" s="35" t="str">
        <x:v>defense_relevant_technical</x:v>
      </x:c>
      <x:c r="I57" s="35" t="str">
        <x:v>High</x:v>
      </x:c>
      <x:c r="J57" s="35" t="str">
        <x:v>U4</x:v>
      </x:c>
      <x:c r="K57" s="35" t="str">
        <x:v>U4</x:v>
      </x:c>
      <x:c r="L57" s="35" t="n">
        <x:v>4</x:v>
      </x:c>
      <x:c r="M57" s="35" t="n">
        <x:v>4</x:v>
      </x:c>
      <x:c r="N57" s="35" t="n">
        <x:v>4</x:v>
      </x:c>
      <x:c r="O57" s="35" t="n">
        <x:v>3</x:v>
      </x:c>
      <x:c r="P57" s="35" t="n">
        <x:v>3</x:v>
      </x:c>
      <x:c r="Q57" s="35" t="n">
        <x:v>4</x:v>
      </x:c>
      <x:c r="R57" s="35" t="n">
        <x:v>3</x:v>
      </x:c>
      <x:c r="S57" s="35" t="n">
        <x:v>3</x:v>
      </x:c>
      <x:c r="T57" s="35" t="str">
        <x:v>Full T/R-chip portfolio L-W bands; batch applications in space ground and airborne AESA radar and satellite communications; airborne system validation moving into production and satcom chips in volume delivery.</x:v>
      </x:c>
      <x:c r="U57" s="35" t="str">
        <x:v>No military buyer named</x:v>
      </x:c>
      <x:c r="V57" s="35" t="str">
        <x:v>Do not label a military-supplier edge from this source alone.</x:v>
      </x:c>
      <x:c r="W57" s="35" t="str">
        <x:v>浙江铖昌科技股份有限公司 — issuer_annual_report</x:v>
      </x:c>
      <x:c r="X57" s="35" t="str">
        <x:v>https://static.cninfo.com.cn/finalpage/2025-04-23/1223220400.PDF</x:v>
      </x:c>
    </x:row>
    <x:row r="58" ht="76" customHeight="1">
      <x:c r="A58" s="35" t="str">
        <x:v>CNSCE-461C16AEB4</x:v>
      </x:c>
      <x:c r="B58" s="35" t="str">
        <x:v>CNSCA-44C5B9481E</x:v>
      </x:c>
      <x:c r="C58" s="35" t="str">
        <x:v>成都天箭科技股份有限公司</x:v>
      </x:c>
      <x:c r="D58" s="35" t="str">
        <x:v>radar_seeker_transmitters_and_RF_frontends</x:v>
      </x:c>
      <x:c r="E58" s="35" t="str">
        <x:v>COMP-012</x:v>
      </x:c>
      <x:c r="F58" s="35" t="str">
        <x:v>2025-04-23</x:v>
      </x:c>
      <x:c r="G58" s="35" t="str">
        <x:v>not_procurement</x:v>
      </x:c>
      <x:c r="H58" s="35" t="str">
        <x:v>direct_military_technical</x:v>
      </x:c>
      <x:c r="I58" s="35" t="str">
        <x:v>High</x:v>
      </x:c>
      <x:c r="J58" s="35" t="str">
        <x:v>U5</x:v>
      </x:c>
      <x:c r="K58" s="35" t="str">
        <x:v>U5</x:v>
      </x:c>
      <x:c r="L58" s="35" t="n">
        <x:v>4</x:v>
      </x:c>
      <x:c r="M58" s="35" t="n">
        <x:v>3</x:v>
      </x:c>
      <x:c r="N58" s="35" t="n">
        <x:v>4</x:v>
      </x:c>
      <x:c r="O58" s="35" t="n">
        <x:v>4</x:v>
      </x:c>
      <x:c r="P58" s="35" t="n">
        <x:v>3</x:v>
      </x:c>
      <x:c r="Q58" s="35" t="n">
        <x:v>3</x:v>
      </x:c>
      <x:c r="R58" s="35" t="n">
        <x:v>2</x:v>
      </x:c>
      <x:c r="S58" s="35" t="n">
        <x:v>4</x:v>
      </x:c>
      <x:c r="T58" s="35" t="str">
        <x:v>Issuer calls missile-borne solid-state transmitter a core active-radar-seeker component and says it has long supplied Chinese military radar-guided missiles; also spans radar EW and military SATCOM.</x:v>
      </x:c>
      <x:c r="U58" s="35" t="str">
        <x:v>Aerospace Long March Rocket Technology Co. appears in accounts receivable but product linkage undisclosed</x:v>
      </x:c>
      <x:c r="V58" s="35" t="str">
        <x:v>Production-base delays mean individual R&amp;D projects should not be labeled fielded.</x:v>
      </x:c>
      <x:c r="W58" s="35" t="str">
        <x:v>成都天箭科技股份有限公司 — issuer_annual_report</x:v>
      </x:c>
      <x:c r="X58" s="35" t="str">
        <x:v>https://static.cninfo.com.cn/finalpage/2025-04-23/1223218349.PDF</x:v>
      </x:c>
    </x:row>
    <x:row r="59" ht="76" customHeight="1">
      <x:c r="A59" s="35" t="str">
        <x:v>CNSCE-6B058271A2</x:v>
      </x:c>
      <x:c r="B59" s="35" t="str">
        <x:v>CNSCA-726B30FF05</x:v>
      </x:c>
      <x:c r="C59" s="35" t="str">
        <x:v>长春奥普光电技术股份有限公司</x:v>
      </x:c>
      <x:c r="D59" s="35" t="str">
        <x:v>low_light_EO_tracking_and_aiming</x:v>
      </x:c>
      <x:c r="E59" s="35" t="str">
        <x:v>COMP-038</x:v>
      </x:c>
      <x:c r="F59" s="35" t="str">
        <x:v>2025-04-22</x:v>
      </x:c>
      <x:c r="G59" s="35" t="str">
        <x:v>not_procurement</x:v>
      </x:c>
      <x:c r="H59" s="35" t="str">
        <x:v>documented_military_sector_role</x:v>
      </x:c>
      <x:c r="I59" s="35" t="str">
        <x:v>Medium</x:v>
      </x:c>
      <x:c r="J59" s="35" t="str">
        <x:v>U3</x:v>
      </x:c>
      <x:c r="K59" s="35" t="str">
        <x:v>U3</x:v>
      </x:c>
      <x:c r="L59" s="35" t="n">
        <x:v>3</x:v>
      </x:c>
      <x:c r="M59" s="35" t="n">
        <x:v>3</x:v>
      </x:c>
      <x:c r="N59" s="35" t="n">
        <x:v>3</x:v>
      </x:c>
      <x:c r="O59" s="35" t="n">
        <x:v>2</x:v>
      </x:c>
      <x:c r="P59" s="35" t="n">
        <x:v>3</x:v>
      </x:c>
      <x:c r="Q59" s="35" t="n">
        <x:v>3</x:v>
      </x:c>
      <x:c r="R59" s="35" t="n">
        <x:v>2</x:v>
      </x:c>
      <x:c r="S59" s="35" t="n">
        <x:v>2</x:v>
      </x:c>
      <x:c r="T59" s="35" t="str">
        <x:v>Aerospace/defense optical-measurement business; developed low-light-imaging drivers and embedded compression/transmission, validated night-vision/underwater-imaging products and built a production platform beyond small-batch work.</x:v>
      </x:c>
      <x:c r="U59" s="35" t="str">
        <x:v>No buyer/fielding proof</x:v>
      </x:c>
      <x:c r="V59" s="35" t="str">
        <x:v>Keep maturity moderate and do not claim weapon integration.</x:v>
      </x:c>
      <x:c r="W59" s="35" t="str">
        <x:v>长春奥普光电技术股份有限公司 — issuer_annual_report</x:v>
      </x:c>
      <x:c r="X59" s="35" t="str">
        <x:v>https://static.cninfo.com.cn/finalpage/2025-04-22/1223192767.PDF</x:v>
      </x:c>
    </x:row>
    <x:row r="60" ht="76" customHeight="1">
      <x:c r="A60" s="35" t="str">
        <x:v>CNSCE-4ED9BC0FCA</x:v>
      </x:c>
      <x:c r="B60" s="35" t="str">
        <x:v>CNSCA-FAEE0AA83E</x:v>
      </x:c>
      <x:c r="C60" s="35" t="str">
        <x:v>成都天奥电子股份有限公司</x:v>
      </x:c>
      <x:c r="D60" s="35" t="str">
        <x:v>atomic_clocks_timing_and_BeiDou</x:v>
      </x:c>
      <x:c r="E60" s="35" t="str">
        <x:v>COMP-034</x:v>
      </x:c>
      <x:c r="F60" s="35" t="str">
        <x:v>2025-04-12</x:v>
      </x:c>
      <x:c r="G60" s="35" t="str">
        <x:v>not_procurement</x:v>
      </x:c>
      <x:c r="H60" s="35" t="str">
        <x:v>documented_defense_application</x:v>
      </x:c>
      <x:c r="I60" s="35" t="str">
        <x:v>High</x:v>
      </x:c>
      <x:c r="J60" s="35" t="str">
        <x:v>U5</x:v>
      </x:c>
      <x:c r="K60" s="35" t="str">
        <x:v>U3</x:v>
      </x:c>
      <x:c r="L60" s="35" t="n">
        <x:v>3</x:v>
      </x:c>
      <x:c r="M60" s="35" t="n">
        <x:v>3</x:v>
      </x:c>
      <x:c r="N60" s="35" t="n">
        <x:v>4</x:v>
      </x:c>
      <x:c r="O60" s="35" t="n">
        <x:v>3</x:v>
      </x:c>
      <x:c r="P60" s="35" t="n">
        <x:v>3</x:v>
      </x:c>
      <x:c r="Q60" s="35" t="n">
        <x:v>3</x:v>
      </x:c>
      <x:c r="R60" s="35" t="n">
        <x:v>2</x:v>
      </x:c>
      <x:c r="S60" s="35" t="n">
        <x:v>3</x:v>
      </x:c>
      <x:c r="T60" s="35" t="str">
        <x:v>Atomic clocks crystal devices frequency components and timing modules serve aerospace satellite navigation military/civil communications and national-defense equipment; participates in crewed-spaceflight lunar and BeiDou projects.</x:v>
      </x:c>
      <x:c r="U60" s="35" t="str">
        <x:v>No named award or customer</x:v>
      </x:c>
      <x:c r="V60" s="35" t="str">
        <x:v>Broad application evidence only.</x:v>
      </x:c>
      <x:c r="W60" s="35" t="str">
        <x:v>成都天奥电子股份有限公司 — issuer_annual_report</x:v>
      </x:c>
      <x:c r="X60" s="35" t="str">
        <x:v>https://static.cninfo.com.cn/finalpage/2025-04-12/1223068986.PDF</x:v>
      </x:c>
    </x:row>
    <x:row r="61" ht="76" customHeight="1">
      <x:c r="A61" s="35" t="str">
        <x:v>CNSCE-67FCB7909F</x:v>
      </x:c>
      <x:c r="B61" s="35" t="str">
        <x:v>CNSCA-3385A3CAA0</x:v>
      </x:c>
      <x:c r="C61" s="35" t="str">
        <x:v>南京国博电子股份有限公司</x:v>
      </x:c>
      <x:c r="D61" s="35" t="str">
        <x:v>AESA_TR_modules_and_RF_ICs</x:v>
      </x:c>
      <x:c r="E61" s="35" t="str">
        <x:v>COMP-003</x:v>
      </x:c>
      <x:c r="F61" s="35" t="str">
        <x:v>2025-04-11</x:v>
      </x:c>
      <x:c r="G61" s="35" t="str">
        <x:v>not_procurement</x:v>
      </x:c>
      <x:c r="H61" s="35" t="str">
        <x:v>direct_military_contract_performance</x:v>
      </x:c>
      <x:c r="I61" s="35" t="str">
        <x:v>High</x:v>
      </x:c>
      <x:c r="J61" s="35" t="str">
        <x:v>U5</x:v>
      </x:c>
      <x:c r="K61" s="35" t="str">
        <x:v>U3</x:v>
      </x:c>
      <x:c r="L61" s="35" t="n">
        <x:v>4</x:v>
      </x:c>
      <x:c r="M61" s="35" t="n">
        <x:v>4</x:v>
      </x:c>
      <x:c r="N61" s="35" t="n">
        <x:v>4</x:v>
      </x:c>
      <x:c r="O61" s="35" t="n">
        <x:v>4</x:v>
      </x:c>
      <x:c r="P61" s="35" t="n">
        <x:v>3</x:v>
      </x:c>
      <x:c r="Q61" s="35" t="n">
        <x:v>4</x:v>
      </x:c>
      <x:c r="R61" s="35" t="n">
        <x:v>2</x:v>
      </x:c>
      <x:c r="S61" s="35" t="n">
        <x:v>4</x:v>
      </x:c>
      <x:c r="T61" s="35" t="str">
        <x:v>Issuer states some military-product contracts were signed by CETC 55th Research Institute while Guobo actually performed them; it is CETC's listed market-facing T/R-component platform.</x:v>
      </x:c>
      <x:c r="U61" s="35" t="str">
        <x:v>CETC 55th Research Institute; end users mostly redacted</x:v>
      </x:c>
      <x:c r="V61" s="35" t="str">
        <x:v>Product overlap with CETC 13th Institute means this is not evidence of exclusive national supply.</x:v>
      </x:c>
      <x:c r="W61" s="35" t="str">
        <x:v>南京国博电子股份有限公司 — issuer_annual_report</x:v>
      </x:c>
      <x:c r="X61" s="35" t="str">
        <x:v>https://static.cninfo.com.cn/finalpage/2025-04-11/1223058747.PDF</x:v>
      </x:c>
    </x:row>
    <x:row r="62" ht="76" customHeight="1">
      <x:c r="A62" s="35" t="str">
        <x:v>CNSCE-151E36EEA3</x:v>
      </x:c>
      <x:c r="B62" s="35" t="str">
        <x:v>CNSCA-D8202F393E</x:v>
      </x:c>
      <x:c r="C62" s="35" t="str">
        <x:v>中航光电科技股份有限公司</x:v>
      </x:c>
      <x:c r="D62" s="35" t="str">
        <x:v>high_reliability_interconnects_and_micro_motors</x:v>
      </x:c>
      <x:c r="E62" s="35" t="str">
        <x:v>COMP-010</x:v>
      </x:c>
      <x:c r="F62" s="35" t="str">
        <x:v>2025-03-29</x:v>
      </x:c>
      <x:c r="G62" s="35" t="str">
        <x:v>not_procurement</x:v>
      </x:c>
      <x:c r="H62" s="35" t="str">
        <x:v>documented_defense_technical</x:v>
      </x:c>
      <x:c r="I62" s="35" t="str">
        <x:v>High</x:v>
      </x:c>
      <x:c r="J62" s="35" t="str">
        <x:v>U5</x:v>
      </x:c>
      <x:c r="K62" s="35" t="str">
        <x:v>U3</x:v>
      </x:c>
      <x:c r="L62" s="35" t="n">
        <x:v>4</x:v>
      </x:c>
      <x:c r="M62" s="35" t="n">
        <x:v>3</x:v>
      </x:c>
      <x:c r="N62" s="35" t="n">
        <x:v>4</x:v>
      </x:c>
      <x:c r="O62" s="35" t="n">
        <x:v>4</x:v>
      </x:c>
      <x:c r="P62" s="35" t="n">
        <x:v>3</x:v>
      </x:c>
      <x:c r="Q62" s="35" t="n">
        <x:v>3</x:v>
      </x:c>
      <x:c r="R62" s="35" t="n">
        <x:v>2</x:v>
      </x:c>
      <x:c r="S62" s="35" t="n">
        <x:v>4</x:v>
      </x:c>
      <x:c r="T62" s="35" t="str">
        <x:v>500-plus product series for aviation/defense including GJB connectors VPX/1553B buses special cables microwave parts and micro-motors; preferred supplier position in defense.</x:v>
      </x:c>
      <x:c r="U62" s="35" t="str">
        <x:v>Defense deliveries not individually named</x:v>
      </x:c>
      <x:c r="V62" s="35" t="str">
        <x:v>Broad industrial-base evidence; no platform-specific sole-source claim.</x:v>
      </x:c>
      <x:c r="W62" s="35" t="str">
        <x:v>中航光电科技股份有限公司 — issuer_annual_report</x:v>
      </x:c>
      <x:c r="X62" s="35" t="str">
        <x:v>https://static.cninfo.com.cn/finalpage/2025-03-29/1222943981.PDF</x:v>
      </x:c>
    </x:row>
    <x:row r="63" ht="76" customHeight="1">
      <x:c r="A63" s="35" t="str">
        <x:v>CNSCE-20A9D1926F</x:v>
      </x:c>
      <x:c r="B63" s="35" t="str">
        <x:v>CNSCA-A60A2291B2</x:v>
      </x:c>
      <x:c r="C63" s="35" t="str">
        <x:v>广州海格通信集团股份有限公司</x:v>
      </x:c>
      <x:c r="D63" s="35" t="str">
        <x:v>tactical_datalinks_and_BeiDou</x:v>
      </x:c>
      <x:c r="E63" s="35" t="str">
        <x:v>COMP-031</x:v>
      </x:c>
      <x:c r="F63" s="35" t="str">
        <x:v>2025-03-29</x:v>
      </x:c>
      <x:c r="G63" s="35" t="str">
        <x:v>not_procurement</x:v>
      </x:c>
      <x:c r="H63" s="35" t="str">
        <x:v>documented_special_institution_role</x:v>
      </x:c>
      <x:c r="I63" s="35" t="str">
        <x:v>High</x:v>
      </x:c>
      <x:c r="J63" s="35" t="str">
        <x:v>U5</x:v>
      </x:c>
      <x:c r="K63" s="35" t="str">
        <x:v>U3</x:v>
      </x:c>
      <x:c r="L63" s="35" t="n">
        <x:v>4</x:v>
      </x:c>
      <x:c r="M63" s="35" t="n">
        <x:v>3</x:v>
      </x:c>
      <x:c r="N63" s="35" t="n">
        <x:v>4</x:v>
      </x:c>
      <x:c r="O63" s="35" t="n">
        <x:v>3</x:v>
      </x:c>
      <x:c r="P63" s="35" t="n">
        <x:v>3</x:v>
      </x:c>
      <x:c r="Q63" s="35" t="n">
        <x:v>3</x:v>
      </x:c>
      <x:c r="R63" s="35" t="n">
        <x:v>2</x:v>
      </x:c>
      <x:c r="S63" s="35" t="n">
        <x:v>3</x:v>
      </x:c>
      <x:c r="T63" s="35" t="str">
        <x:v>Shortwave ultrashortwave SATCOM uncrewed communications datalinks and multifunction terminals; claimed BeiDou-3 chip breadth in special-institution market.</x:v>
      </x:c>
      <x:c r="U63" s="35" t="str">
        <x:v>Major system projects and special institutions unnamed</x:v>
      </x:c>
      <x:c r="V63" s="35" t="str">
        <x:v>Do not create a current PLA-award edge from the filing alone.</x:v>
      </x:c>
      <x:c r="W63" s="35" t="str">
        <x:v>广州海格通信集团股份有限公司 — issuer_annual_report</x:v>
      </x:c>
      <x:c r="X63" s="35" t="str">
        <x:v>https://static.cninfo.com.cn/finalpage/2025-03-29/1222948694.PDF</x:v>
      </x:c>
    </x:row>
    <x:row r="64" ht="76" customHeight="1">
      <x:c r="A64" s="35" t="str">
        <x:v>CNSCE-FBA9FC7321</x:v>
      </x:c>
      <x:c r="B64" s="35" t="str">
        <x:v>CNSCA-7156C53713</x:v>
      </x:c>
      <x:c r="C64" s="35" t="str">
        <x:v>中航机载系统股份有限公司</x:v>
      </x:c>
      <x:c r="D64" s="35" t="str">
        <x:v>flight_control_INS_and_avionics</x:v>
      </x:c>
      <x:c r="E64" s="35" t="str">
        <x:v>COMP-033</x:v>
      </x:c>
      <x:c r="F64" s="35" t="str">
        <x:v>2025-03-29</x:v>
      </x:c>
      <x:c r="G64" s="35" t="str">
        <x:v>not_procurement</x:v>
      </x:c>
      <x:c r="H64" s="35" t="str">
        <x:v>documented_group_role</x:v>
      </x:c>
      <x:c r="I64" s="35" t="str">
        <x:v>High</x:v>
      </x:c>
      <x:c r="J64" s="35" t="str">
        <x:v>U5</x:v>
      </x:c>
      <x:c r="K64" s="35" t="str">
        <x:v>U3</x:v>
      </x:c>
      <x:c r="L64" s="35" t="n">
        <x:v>4</x:v>
      </x:c>
      <x:c r="M64" s="35" t="n">
        <x:v>3</x:v>
      </x:c>
      <x:c r="N64" s="35" t="n">
        <x:v>4</x:v>
      </x:c>
      <x:c r="O64" s="35" t="n">
        <x:v>3</x:v>
      </x:c>
      <x:c r="P64" s="35" t="n">
        <x:v>3</x:v>
      </x:c>
      <x:c r="Q64" s="35" t="n">
        <x:v>3</x:v>
      </x:c>
      <x:c r="R64" s="35" t="n">
        <x:v>2</x:v>
      </x:c>
      <x:c r="S64" s="35" t="n">
        <x:v>3</x:v>
      </x:c>
      <x:c r="T64" s="35" t="str">
        <x:v>Group report lists automatic control inertial navigation radar/fire control ECM instruments sensors and special motors across aerospace naval and weapons domains.</x:v>
      </x:c>
      <x:c r="U64" s="35" t="str">
        <x:v>Group-level capability; no subsidiary assignment</x:v>
      </x:c>
      <x:c r="V64" s="35" t="str">
        <x:v>Keep hierarchy and capability edges separate; do not propagate every claim to subsidiaries.</x:v>
      </x:c>
      <x:c r="W64" s="35" t="str">
        <x:v>中航机载系统股份有限公司 — issuer_annual_report</x:v>
      </x:c>
      <x:c r="X64" s="35" t="str">
        <x:v>https://static.cninfo.com.cn/finalpage/2025-03-29/1222952075.PDF</x:v>
      </x:c>
    </x:row>
    <x:row r="65" ht="76" customHeight="1">
      <x:c r="A65" s="35" t="str">
        <x:v>CNSCE-E0225AD9F2</x:v>
      </x:c>
      <x:c r="B65" s="35" t="str">
        <x:v>CNSCA-FD01C5C931</x:v>
      </x:c>
      <x:c r="C65" s="35" t="str">
        <x:v>南京山峦安全技术有限公司</x:v>
      </x:c>
      <x:c r="D65" s="35" t="str">
        <x:v>counter_UAS_detection_EW_and_control</x:v>
      </x:c>
      <x:c r="E65" s="35" t="str">
        <x:v>DRA-008</x:v>
      </x:c>
      <x:c r="F65" s="35" t="str">
        <x:v>2025 (exact posting date to reconcile)</x:v>
      </x:c>
      <x:c r="G65" s="35" t="str">
        <x:v>preaward_or_nonfinal</x:v>
      </x:c>
      <x:c r="H65" s="35" t="str">
        <x:v>provisional_candidate_or_capability_signal</x:v>
      </x:c>
      <x:c r="I65" s="35" t="str">
        <x:v>High</x:v>
      </x:c>
      <x:c r="J65" s="35" t="str">
        <x:v>U1</x:v>
      </x:c>
      <x:c r="K65" s="35" t="str">
        <x:v>U1</x:v>
      </x:c>
      <x:c r="L65" s="35" t="n">
        <x:v>2</x:v>
      </x:c>
      <x:c r="M65" s="35" t="n">
        <x:v>2</x:v>
      </x:c>
      <x:c r="N65" s="35" t="n">
        <x:v>1</x:v>
      </x:c>
      <x:c r="O65" s="35" t="n">
        <x:v>2</x:v>
      </x:c>
      <x:c r="P65" s="35" t="n">
        <x:v>2</x:v>
      </x:c>
      <x:c r="Q65" s="35" t="n">
        <x:v>2</x:v>
      </x:c>
      <x:c r="R65" s="35" t="n">
        <x:v>1</x:v>
      </x:c>
      <x:c r="S65" s="35" t="n">
        <x:v>2</x:v>
      </x:c>
      <x:c r="T65" s="35" t="str">
        <x:v>Search-indexed official notice identifies Nanjing Shanluan as first ranked at RMB 63000 in a C-UAS equipment procurement result</x:v>
      </x:c>
      <x:c r="U65" s="35" t="str">
        <x:v>2025-JJDBBD-W9010 C-UAS equipment procurement</x:v>
      </x:c>
      <x:c r="V65" s="35" t="str">
        <x:v>Reconcile the full-page award-language and exact posting date before assigning an award state; score ease of replacement high because the test market is crowded</x:v>
      </x:c>
      <x:c r="W65" s="35" t="str">
        <x:v>UAV countermeasure equipment procurement result notice</x:v>
      </x:c>
      <x:c r="X65" s="35" t="str">
        <x:v>https://www.plap.mil.cn/freecms/site/juncai/ggxx/info/2025/8a1d04b895320c5701964d64e62a7106.html</x:v>
      </x:c>
    </x:row>
    <x:row r="66" ht="76" customHeight="1">
      <x:c r="A66" s="35" t="str">
        <x:v>CNSCE-2D42815629</x:v>
      </x:c>
      <x:c r="B66" s="35" t="str">
        <x:v>CNSCA-1FF4B58E53</x:v>
      </x:c>
      <x:c r="C66" s="35" t="str">
        <x:v>西安宇航者创新科技有限公司</x:v>
      </x:c>
      <x:c r="D66" s="35" t="str">
        <x:v>unmanned_platforms_swarming_and_mission_integration</x:v>
      </x:c>
      <x:c r="E66" s="35" t="str">
        <x:v>DRA-020</x:v>
      </x:c>
      <x:c r="F66" s="35" t="str">
        <x:v>2024-11-13</x:v>
      </x:c>
      <x:c r="G66" s="35" t="str">
        <x:v>preaward_or_nonfinal</x:v>
      </x:c>
      <x:c r="H66" s="35" t="str">
        <x:v>provisional_candidate_or_capability_signal</x:v>
      </x:c>
      <x:c r="I66" s="35" t="str">
        <x:v>High</x:v>
      </x:c>
      <x:c r="J66" s="35" t="str">
        <x:v>U1</x:v>
      </x:c>
      <x:c r="K66" s="35" t="str">
        <x:v>U1</x:v>
      </x:c>
      <x:c r="L66" s="35" t="n">
        <x:v>2</x:v>
      </x:c>
      <x:c r="M66" s="35" t="n">
        <x:v>2</x:v>
      </x:c>
      <x:c r="N66" s="35" t="n">
        <x:v>1</x:v>
      </x:c>
      <x:c r="O66" s="35" t="n">
        <x:v>3</x:v>
      </x:c>
      <x:c r="P66" s="35" t="n">
        <x:v>2</x:v>
      </x:c>
      <x:c r="Q66" s="35" t="n">
        <x:v>2</x:v>
      </x:c>
      <x:c r="R66" s="35" t="n">
        <x:v>1</x:v>
      </x:c>
      <x:c r="S66" s="35" t="n">
        <x:v>3</x:v>
      </x:c>
      <x:c r="T66" s="35" t="str">
        <x:v>Provincial procurement notice identifies Xi'an Yuhangzhe as intended sole-source supplier for UAV equipment/management platform and a small automated airport with budget RMB 800000</x:v>
      </x:c>
      <x:c r="U66" s="35" t="str">
        <x:v>Public-security UAV management platform and small automated airport</x:v>
      </x:c>
      <x:c r="V66" s="35" t="str">
        <x:v>Intended sole source is not a completed transaction and public security does not establish military supply</x:v>
      </x:c>
      <x:c r="W66" s="35" t="str">
        <x:v>Shaanxi government proposed sole-source procurement notice</x:v>
      </x:c>
      <x:c r="X66" s="35" t="str">
        <x:v>https://www.ccgp-shaanxi.gov.cn/freecms/site/shaanxi/ggxx/info/2024/8a69c037932429a3019324ab328a32fe.html</x:v>
      </x:c>
    </x:row>
    <x:row r="67" ht="76" customHeight="1">
      <x:c r="A67" s="35" t="str">
        <x:v>CNSCE-36A711DC27</x:v>
      </x:c>
      <x:c r="B67" s="35" t="str">
        <x:v>CNSCA-8872A59052</x:v>
      </x:c>
      <x:c r="C67" s="35" t="str">
        <x:v>北京博宏科元信息科技有限公司</x:v>
      </x:c>
      <x:c r="D67" s="35" t="str">
        <x:v>counter_UAS_detection_EW_and_control</x:v>
      </x:c>
      <x:c r="E67" s="35" t="str">
        <x:v>DRA-016</x:v>
      </x:c>
      <x:c r="F67" s="35" t="str">
        <x:v>2024-10-25</x:v>
      </x:c>
      <x:c r="G67" s="35" t="str">
        <x:v>preaward_or_nonfinal</x:v>
      </x:c>
      <x:c r="H67" s="35" t="str">
        <x:v>provisional_candidate_or_capability_signal</x:v>
      </x:c>
      <x:c r="I67" s="35" t="str">
        <x:v>Medium-High</x:v>
      </x:c>
      <x:c r="J67" s="35" t="str">
        <x:v>U1</x:v>
      </x:c>
      <x:c r="K67" s="35" t="str">
        <x:v>U2</x:v>
      </x:c>
      <x:c r="L67" s="35" t="n">
        <x:v>2</x:v>
      </x:c>
      <x:c r="M67" s="35" t="n">
        <x:v>3</x:v>
      </x:c>
      <x:c r="N67" s="35" t="n">
        <x:v>1</x:v>
      </x:c>
      <x:c r="O67" s="35" t="n">
        <x:v>2</x:v>
      </x:c>
      <x:c r="P67" s="35" t="n">
        <x:v>2</x:v>
      </x:c>
      <x:c r="Q67" s="35" t="n">
        <x:v>3</x:v>
      </x:c>
      <x:c r="R67" s="35" t="n">
        <x:v>1</x:v>
      </x:c>
      <x:c r="S67" s="35" t="n">
        <x:v>2</x:v>
      </x:c>
      <x:c r="T67" s="35" t="str">
        <x:v>Association lists Beijing Bohong Keyuan among 21 companies judged excellent after the multi-agency portable-device test</x:v>
      </x:c>
      <x:c r="U67" s="35" t="str">
        <x:v>Hunting Sky 2024 portable C-UAS comparison test</x:v>
      </x:c>
      <x:c r="V67" s="35" t="str">
        <x:v>The test result alone establishes neither actual customer nor in-house component manufacture</x:v>
      </x:c>
      <x:c r="W67" s="35" t="str">
        <x:v>China Security Association Hunting Sky 2024 C-UAS field-test report</x:v>
      </x:c>
      <x:c r="X67" s="35" t="str">
        <x:v>https://news.21csp.com.cn/special/2024blh/202410/11425149.html</x:v>
      </x:c>
    </x:row>
    <x:row r="68" ht="76" customHeight="1">
      <x:c r="A68" s="35" t="str">
        <x:v>CNSCE-4B422503D4</x:v>
      </x:c>
      <x:c r="B68" s="35" t="str">
        <x:v>CNSCA-C2FFDBE54E</x:v>
      </x:c>
      <x:c r="C68" s="35" t="str">
        <x:v>杭州星辰大海科技有限公司</x:v>
      </x:c>
      <x:c r="D68" s="35" t="str">
        <x:v>counter_UAS_detection_EW_and_control</x:v>
      </x:c>
      <x:c r="E68" s="35" t="str">
        <x:v>DRA-015</x:v>
      </x:c>
      <x:c r="F68" s="35" t="str">
        <x:v>2024-10-25</x:v>
      </x:c>
      <x:c r="G68" s="35" t="str">
        <x:v>preaward_or_nonfinal</x:v>
      </x:c>
      <x:c r="H68" s="35" t="str">
        <x:v>provisional_candidate_or_capability_signal</x:v>
      </x:c>
      <x:c r="I68" s="35" t="str">
        <x:v>Medium-High</x:v>
      </x:c>
      <x:c r="J68" s="35" t="str">
        <x:v>U1</x:v>
      </x:c>
      <x:c r="K68" s="35" t="str">
        <x:v>U2</x:v>
      </x:c>
      <x:c r="L68" s="35" t="n">
        <x:v>2</x:v>
      </x:c>
      <x:c r="M68" s="35" t="n">
        <x:v>3</x:v>
      </x:c>
      <x:c r="N68" s="35" t="n">
        <x:v>1</x:v>
      </x:c>
      <x:c r="O68" s="35" t="n">
        <x:v>2</x:v>
      </x:c>
      <x:c r="P68" s="35" t="n">
        <x:v>2</x:v>
      </x:c>
      <x:c r="Q68" s="35" t="n">
        <x:v>3</x:v>
      </x:c>
      <x:c r="R68" s="35" t="n">
        <x:v>1</x:v>
      </x:c>
      <x:c r="S68" s="35" t="n">
        <x:v>2</x:v>
      </x:c>
      <x:c r="T68" s="35" t="str">
        <x:v>Association lists Hangzhou Xingchen Dahai among 21 companies judged excellent after a three-batch 15-day test of 26 vendors</x:v>
      </x:c>
      <x:c r="U68" s="35" t="str">
        <x:v>Hunting Sky 2024 portable C-UAS comparison test</x:v>
      </x:c>
      <x:c r="V68" s="35" t="str">
        <x:v>No ranking order or end-user acceptance is supplied; do not transform certificate into an award</x:v>
      </x:c>
      <x:c r="W68" s="35" t="str">
        <x:v>China Security Association Hunting Sky 2024 C-UAS field-test report</x:v>
      </x:c>
      <x:c r="X68" s="35" t="str">
        <x:v>https://news.21csp.com.cn/special/2024blh/202410/11425149.html</x:v>
      </x:c>
    </x:row>
    <x:row r="69" ht="76" customHeight="1">
      <x:c r="A69" s="35" t="str">
        <x:v>CNSCE-9382858388</x:v>
      </x:c>
      <x:c r="B69" s="35" t="str">
        <x:v>CNSCA-15EC4C0A8B</x:v>
      </x:c>
      <x:c r="C69" s="35" t="str">
        <x:v>中科空网（郑州）安全技术有限公司</x:v>
      </x:c>
      <x:c r="D69" s="35" t="str">
        <x:v>counter_UAS_detection_EW_and_control</x:v>
      </x:c>
      <x:c r="E69" s="35" t="str">
        <x:v>DRA-013</x:v>
      </x:c>
      <x:c r="F69" s="35" t="str">
        <x:v>2024-10-25</x:v>
      </x:c>
      <x:c r="G69" s="35" t="str">
        <x:v>preaward_or_nonfinal</x:v>
      </x:c>
      <x:c r="H69" s="35" t="str">
        <x:v>provisional_candidate_or_capability_signal</x:v>
      </x:c>
      <x:c r="I69" s="35" t="str">
        <x:v>Medium-High</x:v>
      </x:c>
      <x:c r="J69" s="35" t="str">
        <x:v>U1</x:v>
      </x:c>
      <x:c r="K69" s="35" t="str">
        <x:v>U2</x:v>
      </x:c>
      <x:c r="L69" s="35" t="n">
        <x:v>2</x:v>
      </x:c>
      <x:c r="M69" s="35" t="n">
        <x:v>3</x:v>
      </x:c>
      <x:c r="N69" s="35" t="n">
        <x:v>1</x:v>
      </x:c>
      <x:c r="O69" s="35" t="n">
        <x:v>2</x:v>
      </x:c>
      <x:c r="P69" s="35" t="n">
        <x:v>2</x:v>
      </x:c>
      <x:c r="Q69" s="35" t="n">
        <x:v>3</x:v>
      </x:c>
      <x:c r="R69" s="35" t="n">
        <x:v>1</x:v>
      </x:c>
      <x:c r="S69" s="35" t="n">
        <x:v>2</x:v>
      </x:c>
      <x:c r="T69" s="35" t="str">
        <x:v>Association says 26 companies completed three batches over 15 days and lists Zhongke Kongwang among 21 entities judged excellent</x:v>
      </x:c>
      <x:c r="U69" s="35" t="str">
        <x:v>Hunting Sky 2024 portable C-UAS comparison test</x:v>
      </x:c>
      <x:c r="V69" s="35" t="str">
        <x:v>Test certificate is not military procurement or proof of production volume; 21 of 26 firms were excellent so individual criticality must remain moderate</x:v>
      </x:c>
      <x:c r="W69" s="35" t="str">
        <x:v>China Security Association Hunting Sky 2024 C-UAS field-test report</x:v>
      </x:c>
      <x:c r="X69" s="35" t="str">
        <x:v>https://news.21csp.com.cn/special/2024blh/202410/11425149.html</x:v>
      </x:c>
    </x:row>
    <x:row r="70" ht="76" customHeight="1">
      <x:c r="A70" s="35" t="str">
        <x:v>CNSCE-A9A08BC897</x:v>
      </x:c>
      <x:c r="B70" s="35" t="str">
        <x:v>CNSCA-FD01C5C931</x:v>
      </x:c>
      <x:c r="C70" s="35" t="str">
        <x:v>南京山峦安全技术有限公司</x:v>
      </x:c>
      <x:c r="D70" s="35" t="str">
        <x:v>counter_UAS_detection_EW_and_control</x:v>
      </x:c>
      <x:c r="E70" s="35" t="str">
        <x:v>DRA-010</x:v>
      </x:c>
      <x:c r="F70" s="35" t="str">
        <x:v>2024-08-30</x:v>
      </x:c>
      <x:c r="G70" s="35" t="str">
        <x:v>preaward_or_nonfinal</x:v>
      </x:c>
      <x:c r="H70" s="35" t="str">
        <x:v>provisional_candidate_or_capability_signal</x:v>
      </x:c>
      <x:c r="I70" s="35" t="str">
        <x:v>High</x:v>
      </x:c>
      <x:c r="J70" s="35" t="str">
        <x:v>U1</x:v>
      </x:c>
      <x:c r="K70" s="35" t="str">
        <x:v>U1</x:v>
      </x:c>
      <x:c r="L70" s="35" t="n">
        <x:v>2</x:v>
      </x:c>
      <x:c r="M70" s="35" t="n">
        <x:v>2</x:v>
      </x:c>
      <x:c r="N70" s="35" t="n">
        <x:v>1</x:v>
      </x:c>
      <x:c r="O70" s="35" t="n">
        <x:v>2</x:v>
      </x:c>
      <x:c r="P70" s="35" t="n">
        <x:v>2</x:v>
      </x:c>
      <x:c r="Q70" s="35" t="n">
        <x:v>2</x:v>
      </x:c>
      <x:c r="R70" s="35" t="n">
        <x:v>1</x:v>
      </x:c>
      <x:c r="S70" s="35" t="n">
        <x:v>2</x:v>
      </x:c>
      <x:c r="T70" s="35" t="str">
        <x:v>Official notice ranks Nanjing Shanluan third at RMB 179398 while Jingneng Keshi is the pre-award supplier</x:v>
      </x:c>
      <x:c r="U70" s="35" t="str">
        <x:v>2024-VGBJZS-W1003 C-UAS equipment procurement</x:v>
      </x:c>
      <x:c r="V70" s="35" t="str">
        <x:v>This is explicit negative award evidence; do not record Nanjing Shanluan as the 2024 supplier</x:v>
      </x:c>
      <x:c r="W70" s="35" t="str">
        <x:v>C-UAS equipment procurement result notice</x:v>
      </x:c>
      <x:c r="X70" s="35" t="str">
        <x:v>https://www.plap.mil.cn/freecms/site/juncai/ggxx/info/2024/8a1d01109163a9d001919d4348c336b8.html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abc8f7682c8e4a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38" hidden="0" customWidth="1"/>
    <x:col min="4" max="4" width="24" hidden="0" customWidth="1"/>
    <x:col min="5" max="5" width="25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10" hidden="0" customWidth="1"/>
    <x:col min="11" max="11" width="12" hidden="0" customWidth="1"/>
    <x:col min="12" max="12" width="13" hidden="0" customWidth="1"/>
    <x:col min="13" max="13" width="11" hidden="0" customWidth="1"/>
    <x:col min="14" max="14" width="54" hidden="0" customWidth="1"/>
    <x:col min="15" max="15" width="60" hidden="0" customWidth="1"/>
    <x:col min="16" max="16" width="62" hidden="0" customWidth="1"/>
  </x:cols>
  <x:sheetData>
    <x:row r="1" ht="32" customHeight="1">
      <x:c r="A1" s="3" t="str">
        <x:v>Robots, AI, drones &amp; counter-UAS — deep vertical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7" t="str">
        <x:v>Completed award evidence, source-attributed capabilities, and pre-award watch items are presented together only with their status boundary visible.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4" customHeight="1">
      <x:c r="A4" s="11" t="str">
        <x:v>Initial rank</x:v>
      </x:c>
      <x:c r="B4" s="11" t="str">
        <x:v>Supplier</x:v>
      </x:c>
      <x:c r="C4" s="11" t="str">
        <x:v>Capability family</x:v>
      </x:c>
      <x:c r="D4" s="11" t="str">
        <x:v>Lane</x:v>
      </x:c>
      <x:c r="E4" s="11" t="str">
        <x:v>Status</x:v>
      </x:c>
      <x:c r="F4" s="11" t="str">
        <x:v>C</x:v>
      </x:c>
      <x:c r="G4" s="11" t="str">
        <x:v>I</x:v>
      </x:c>
      <x:c r="H4" s="11" t="str">
        <x:v>X</x:v>
      </x:c>
      <x:c r="I4" s="11" t="str">
        <x:v>E</x:v>
      </x:c>
      <x:c r="J4" s="11" t="str">
        <x:v>Maturity</x:v>
      </x:c>
      <x:c r="K4" s="11" t="str">
        <x:v>Importance</x:v>
      </x:c>
      <x:c r="L4" s="11" t="str">
        <x:v>Lower bound</x:v>
      </x:c>
      <x:c r="M4" s="11" t="str">
        <x:v>Evidence rows</x:v>
      </x:c>
      <x:c r="N4" s="11" t="str">
        <x:v>Why it surfaced</x:v>
      </x:c>
      <x:c r="O4" s="11" t="str">
        <x:v>Caveat</x:v>
      </x:c>
      <x:c r="P4" s="11" t="str">
        <x:v>Sources</x:v>
      </x:c>
    </x:row>
    <x:row r="5" ht="72" customHeight="1">
      <x:c r="A5" s="35" t="n">
        <x:v>3</x:v>
      </x:c>
      <x:c r="B5" s="35" t="str">
        <x:v>北京晶品特装科技股份有限公司</x:v>
      </x:c>
      <x:c r="C5" s="35" t="str">
        <x:v>military_robot_motion_and_EO_modules</x:v>
      </x:c>
      <x:c r="D5" s="35" t="str">
        <x:v>production_enabler</x:v>
      </x:c>
      <x:c r="E5" s="35" t="str">
        <x:v>verified_production_enabler</x:v>
      </x:c>
      <x:c r="F5" s="35" t="n">
        <x:v>3</x:v>
      </x:c>
      <x:c r="G5" s="35" t="n">
        <x:v>4</x:v>
      </x:c>
      <x:c r="H5" s="35" t="n">
        <x:v>2</x:v>
      </x:c>
      <x:c r="I5" s="35" t="str">
        <x:v>E4</x:v>
      </x:c>
      <x:c r="J5" s="35" t="str">
        <x:v>U4</x:v>
      </x:c>
      <x:c r="K5" s="35" t="n">
        <x:v>79</x:v>
      </x:c>
      <x:c r="L5" s="35" t="n">
        <x:v>79</x:v>
      </x:c>
      <x:c r="M5" s="35" t="n">
        <x:v>1</x:v>
      </x:c>
      <x:c r="N5" s="35" t="str">
        <x:v>1 atomic evidence record(s), 1 distinct source(s). Criticality is 3/4; production maturity is U4; cross-domain leverage is 2/4. No substitution-risk score is asserted.</x:v>
      </x:c>
      <x:c r="O5" s="35" t="str">
        <x:v>Treat as robot integrator/upstream module developer; payload project at initial flight test remains R&amp;D.</x:v>
      </x:c>
      <x:c r="P5" s="35" t="str">
        <x:v>https://static.cninfo.com.cn/finalpage/2025-04-29/1223380866.PDF</x:v>
      </x:c>
    </x:row>
    <x:row r="6" ht="72" customHeight="1">
      <x:c r="A6" s="35" t="n">
        <x:v>14</x:v>
      </x:c>
      <x:c r="B6" s="35" t="str">
        <x:v>航天时代电子技术股份有限公司</x:v>
      </x:c>
      <x:c r="C6" s="35" t="str">
        <x:v>unmanned_systems_and_aerospace_electronics_integration</x:v>
      </x:c>
      <x:c r="D6" s="35" t="str">
        <x:v>unmanned_systems_enabler</x:v>
      </x:c>
      <x:c r="E6" s="35" t="str">
        <x:v>verified_supplier</x:v>
      </x:c>
      <x:c r="F6" s="35" t="n">
        <x:v>3</x:v>
      </x:c>
      <x:c r="G6" s="35" t="n">
        <x:v>2</x:v>
      </x:c>
      <x:c r="H6" s="35" t="n">
        <x:v>2</x:v>
      </x:c>
      <x:c r="I6" s="35" t="str">
        <x:v>E4</x:v>
      </x:c>
      <x:c r="J6" s="35" t="str">
        <x:v>U4</x:v>
      </x:c>
      <x:c r="K6" s="35" t="n">
        <x:v>71</x:v>
      </x:c>
      <x:c r="L6" s="35" t="n">
        <x:v>71</x:v>
      </x:c>
      <x:c r="M6" s="35" t="n">
        <x:v>1</x:v>
      </x:c>
      <x:c r="N6" s="35" t="str">
        <x:v>1 atomic evidence record(s), 1 distinct source(s). Criticality is 3/4; production maturity is U4; cross-domain leverage is 2/4. No substitution-risk score is asserted.</x:v>
      </x:c>
      <x:c r="O6" s="35" t="str">
        <x:v>This is a prime/integrator scorecard; the disclosure does not establish the subsidiary-level supply chain or domestic military fielding scale.</x:v>
      </x:c>
      <x:c r="P6" s="35" t="str">
        <x:v>https://dataclouds.cninfo.com.cn/shgonggao/hsomarket/2026/20260327/01fc31123b944c3396c26972e042ab76.PDF</x:v>
      </x:c>
    </x:row>
    <x:row r="7" ht="72" customHeight="1">
      <x:c r="A7" s="35" t="n">
        <x:v>17</x:v>
      </x:c>
      <x:c r="B7" s="35" t="str">
        <x:v>航天工业发展股份有限公司</x:v>
      </x:c>
      <x:c r="C7" s="35" t="str">
        <x:v>military_networks_C2_and_UAV_comms_nodes</x:v>
      </x:c>
      <x:c r="D7" s="35" t="str">
        <x:v>unmanned_systems_enabler</x:v>
      </x:c>
      <x:c r="E7" s="35" t="str">
        <x:v>verified_supplier</x:v>
      </x:c>
      <x:c r="F7" s="35" t="n">
        <x:v>3</x:v>
      </x:c>
      <x:c r="G7" s="35" t="n">
        <x:v>3</x:v>
      </x:c>
      <x:c r="H7" s="35" t="n">
        <x:v>2</x:v>
      </x:c>
      <x:c r="I7" s="35" t="str">
        <x:v>E4</x:v>
      </x:c>
      <x:c r="J7" s="35" t="str">
        <x:v>U3</x:v>
      </x:c>
      <x:c r="K7" s="35" t="n">
        <x:v>70</x:v>
      </x:c>
      <x:c r="L7" s="35" t="n">
        <x:v>70</x:v>
      </x:c>
      <x:c r="M7" s="35" t="n">
        <x:v>1</x:v>
      </x:c>
      <x:c r="N7" s="35" t="str">
        <x:v>1 atomic evidence record(s), 1 distinct source(s). Criticality is 3/4; production maturity is U3; cross-domain leverage is 2/4. No substitution-risk score is asserted.</x:v>
      </x:c>
      <x:c r="O7" s="35" t="str">
        <x:v>System integrator/prime rather than a pure component maker; exclude from under-the-radar component-only ranking.</x:v>
      </x:c>
      <x:c r="P7" s="35" t="str">
        <x:v>https://static.cninfo.com.cn/finalpage/2026-04-29/1225247825.PDF</x:v>
      </x:c>
    </x:row>
    <x:row r="8" ht="72" customHeight="1">
      <x:c r="A8" s="35" t="n">
        <x:v>25</x:v>
      </x:c>
      <x:c r="B8" s="35" t="str">
        <x:v>广东熙瑞智能科技有限公司</x:v>
      </x:c>
      <x:c r="C8" s="35" t="str">
        <x:v>robotic_grinding_and_shipyard_production_automation</x:v>
      </x:c>
      <x:c r="D8" s="35" t="str">
        <x:v>production_enabler</x:v>
      </x:c>
      <x:c r="E8" s="35" t="str">
        <x:v>verified_production_enabler</x:v>
      </x:c>
      <x:c r="F8" s="35" t="n">
        <x:v>2</x:v>
      </x:c>
      <x:c r="G8" s="35" t="n">
        <x:v>3</x:v>
      </x:c>
      <x:c r="H8" s="35" t="n">
        <x:v>1</x:v>
      </x:c>
      <x:c r="I8" s="35" t="str">
        <x:v>E4</x:v>
      </x:c>
      <x:c r="J8" s="35" t="str">
        <x:v>U3</x:v>
      </x:c>
      <x:c r="K8" s="35" t="n">
        <x:v>54</x:v>
      </x:c>
      <x:c r="L8" s="35" t="n">
        <x:v>54</x:v>
      </x:c>
      <x:c r="M8" s="35" t="n">
        <x:v>3</x:v>
      </x:c>
      <x:c r="N8" s="35" t="str">
        <x:v>3 atomic evidence record(s), 3 distinct source(s). Criticality is 2/4; production maturity is U3; cross-domain leverage is 1/4. No substitution-risk score is asserted.</x:v>
      </x:c>
      <x:c r="O8" s="35" t="str">
        <x:v>This confirms supply of a production workstation to a CSSC shipyard; it does not prove supply of a weapon or unmanned-platform subsystem | Do not aggregate prices into company revenue; this is still a specific shipyard automation contract | Page does not state a publication date and company-profile claims are not an audited filing; do not use it for a time-series event</x:v>
      </x:c>
      <x:c r="P8" s="35" t="str">
        <x:v>https://csscbidding.com/jyxx/003001/003001004/20250825/5a186f89-8939-4634-9bdc-bb09d21cbcbb.html | https://csscbidding.com/jyxx/003001/003001004/20250825/fc564718-4800-43a3-b82a-02c5058139fe.html | https://www.kczg.org.cn/org/orgdetail?id=356793</x:v>
      </x:c>
    </x:row>
    <x:row r="9" ht="72" customHeight="1">
      <x:c r="A9" s="35" t="str"/>
      <x:c r="B9" s="35" t="str">
        <x:v>成都智明达电子股份有限公司</x:v>
      </x:c>
      <x:c r="C9" s="35" t="str">
        <x:v>rugged_embedded_compute_UAV_flight_and_CUAS</x:v>
      </x:c>
      <x:c r="D9" s="35" t="str">
        <x:v>counter_UAS_integrator</x:v>
      </x:c>
      <x:c r="E9" s="35" t="str">
        <x:v>bounded_supplier_assessment</x:v>
      </x:c>
      <x:c r="F9" s="35" t="n">
        <x:v>3</x:v>
      </x:c>
      <x:c r="G9" s="35" t="n">
        <x:v>4</x:v>
      </x:c>
      <x:c r="H9" s="35" t="n">
        <x:v>2</x:v>
      </x:c>
      <x:c r="I9" s="35" t="str">
        <x:v>E3</x:v>
      </x:c>
      <x:c r="J9" s="35" t="str">
        <x:v>U2</x:v>
      </x:c>
      <x:c r="K9" s="35" t="n">
        <x:v>69</x:v>
      </x:c>
      <x:c r="L9" s="35" t="n">
        <x:v>59</x:v>
      </x:c>
      <x:c r="M9" s="35" t="n">
        <x:v>1</x:v>
      </x:c>
      <x:c r="N9" s="35" t="str">
        <x:v>1 atomic evidence record(s), 1 distinct source(s). Criticality is 3/4; production maturity is U2; cross-domain leverage is 2/4. No substitution-risk score is asserted.</x:v>
      </x:c>
      <x:c r="O9" s="35" t="str">
        <x:v>Do not upgrade to military fielding without a buyer/program link.</x:v>
      </x:c>
      <x:c r="P9" s="35" t="str">
        <x:v>https://static.cninfo.com.cn/finalpage/2026-03-26/1225031432.PDF</x:v>
      </x:c>
    </x:row>
    <x:row r="10" ht="72" customHeight="1">
      <x:c r="A10" s="35" t="str"/>
      <x:c r="B10" s="35" t="str">
        <x:v>深圳市科思科技股份有限公司</x:v>
      </x:c>
      <x:c r="C10" s="35" t="str">
        <x:v>UAV_swarm_mesh_and_mission_computing</x:v>
      </x:c>
      <x:c r="D10" s="35" t="str">
        <x:v>unmanned_systems_enabler</x:v>
      </x:c>
      <x:c r="E10" s="35" t="str">
        <x:v>bounded_supplier_assessment</x:v>
      </x:c>
      <x:c r="F10" s="35" t="n">
        <x:v>3</x:v>
      </x:c>
      <x:c r="G10" s="35" t="n">
        <x:v>4</x:v>
      </x:c>
      <x:c r="H10" s="35" t="n">
        <x:v>2</x:v>
      </x:c>
      <x:c r="I10" s="35" t="str">
        <x:v>E3</x:v>
      </x:c>
      <x:c r="J10" s="35" t="str">
        <x:v>U2</x:v>
      </x:c>
      <x:c r="K10" s="35" t="n">
        <x:v>69</x:v>
      </x:c>
      <x:c r="L10" s="35" t="n">
        <x:v>59</x:v>
      </x:c>
      <x:c r="M10" s="35" t="n">
        <x:v>1</x:v>
      </x:c>
      <x:c r="N10" s="35" t="str">
        <x:v>1 atomic evidence record(s), 1 distinct source(s). Criticality is 3/4; production maturity is U2; cross-domain leverage is 2/4. No substitution-risk score is asserted.</x:v>
      </x:c>
      <x:c r="O10" s="35" t="str">
        <x:v>High-innovation watch candidate only; do not add as established supplier.</x:v>
      </x:c>
      <x:c r="P10" s="35" t="str">
        <x:v>https://static.cninfo.com.cn/finalpage/2025-04-25/1223284788.PDF</x:v>
      </x:c>
    </x:row>
    <x:row r="11" ht="72" customHeight="1">
      <x:c r="A11" s="35" t="str"/>
      <x:c r="B11" s="35" t="str">
        <x:v>北京新雷能科技股份有限公司</x:v>
      </x:c>
      <x:c r="C11" s="35" t="str">
        <x:v>rad_hard_power_motor_drive_and_UAV_motors</x:v>
      </x:c>
      <x:c r="D11" s="35" t="str">
        <x:v>unmanned_systems_enabler</x:v>
      </x:c>
      <x:c r="E11" s="35" t="str">
        <x:v>bounded_supplier_assessment</x:v>
      </x:c>
      <x:c r="F11" s="35" t="n">
        <x:v>3</x:v>
      </x:c>
      <x:c r="G11" s="35" t="n">
        <x:v>4</x:v>
      </x:c>
      <x:c r="H11" s="35" t="n">
        <x:v>2</x:v>
      </x:c>
      <x:c r="I11" s="35" t="str">
        <x:v>E2</x:v>
      </x:c>
      <x:c r="J11" s="35" t="str">
        <x:v>U2</x:v>
      </x:c>
      <x:c r="K11" s="35" t="n">
        <x:v>69</x:v>
      </x:c>
      <x:c r="L11" s="35" t="n">
        <x:v>48</x:v>
      </x:c>
      <x:c r="M11" s="35" t="n">
        <x:v>1</x:v>
      </x:c>
      <x:c r="N11" s="35" t="str">
        <x:v>1 atomic evidence record(s), 1 distinct source(s). Criticality is 3/4; production maturity is U2; cross-domain leverage is 2/4. No substitution-risk score is asserted.</x:v>
      </x:c>
      <x:c r="O11" s="35" t="str">
        <x:v>Keep commercial/dual-use until armed-equipment relationship is separately sourced.</x:v>
      </x:c>
      <x:c r="P11" s="35" t="str">
        <x:v>https://static.cninfo.com.cn/finalpage/2026-04-21/1225130175.PDF</x:v>
      </x:c>
    </x:row>
    <x:row r="12" ht="72" customHeight="1">
      <x:c r="A12" s="35" t="str"/>
      <x:c r="B12" s="35" t="str">
        <x:v>湖南超能机器人技术有限公司</x:v>
      </x:c>
      <x:c r="C12" s="35" t="str">
        <x:v>unmanned_platforms_swarming_and_mission_integration</x:v>
      </x:c>
      <x:c r="D12" s="35" t="str">
        <x:v>unmanned_systems_enabler</x:v>
      </x:c>
      <x:c r="E12" s="35" t="str">
        <x:v>provisional_watchlist</x:v>
      </x:c>
      <x:c r="F12" s="35" t="n">
        <x:v>2</x:v>
      </x:c>
      <x:c r="G12" s="35" t="n">
        <x:v>3</x:v>
      </x:c>
      <x:c r="H12" s="35" t="n">
        <x:v>1</x:v>
      </x:c>
      <x:c r="I12" s="35" t="str">
        <x:v>E3</x:v>
      </x:c>
      <x:c r="J12" s="35" t="str">
        <x:v>U2</x:v>
      </x:c>
      <x:c r="K12" s="35" t="n">
        <x:v>49</x:v>
      </x:c>
      <x:c r="L12" s="35" t="n">
        <x:v>42</x:v>
      </x:c>
      <x:c r="M12" s="35" t="n">
        <x:v>1</x:v>
      </x:c>
      <x:c r="N12" s="35" t="str">
        <x:v>1 atomic evidence record(s), 1 distinct source(s). Criticality is 2/4; production maturity is U2; cross-domain leverage is 1/4. No substitution-risk score is asserted.</x:v>
      </x:c>
      <x:c r="O12" s="35" t="str">
        <x:v>Statements of batch delivery and technical architecture are attributed to the firm in a government feature; no customer names or delivery volumes are given</x:v>
      </x:c>
      <x:c r="P12" s="35" t="str">
        <x:v>https://www.hunan.gov.cn/hnszf/hnyw/sy/hnyw1/202608/t20260831_34052912.html</x:v>
      </x:c>
    </x:row>
    <x:row r="13" ht="72" customHeight="1">
      <x:c r="A13" s="35" t="str"/>
      <x:c r="B13" s="35" t="str">
        <x:v>杭州景业智能科技股份有限公司</x:v>
      </x:c>
      <x:c r="C13" s="35" t="str">
        <x:v>special_robots_and_quadruped_support</x:v>
      </x:c>
      <x:c r="D13" s="35" t="str">
        <x:v>production_enabler</x:v>
      </x:c>
      <x:c r="E13" s="35" t="str">
        <x:v>bounded_supplier_assessment</x:v>
      </x:c>
      <x:c r="F13" s="35" t="n">
        <x:v>2</x:v>
      </x:c>
      <x:c r="G13" s="35" t="n">
        <x:v>4</x:v>
      </x:c>
      <x:c r="H13" s="35" t="n">
        <x:v>2</x:v>
      </x:c>
      <x:c r="I13" s="35" t="str">
        <x:v>E2</x:v>
      </x:c>
      <x:c r="J13" s="35" t="str">
        <x:v>U2</x:v>
      </x:c>
      <x:c r="K13" s="35" t="n">
        <x:v>58</x:v>
      </x:c>
      <x:c r="L13" s="35" t="n">
        <x:v>41</x:v>
      </x:c>
      <x:c r="M13" s="35" t="n">
        <x:v>1</x:v>
      </x:c>
      <x:c r="N13" s="35" t="str">
        <x:v>1 atomic evidence record(s), 1 distinct source(s). Criticality is 2/4; production maturity is U2; cross-domain leverage is 2/4. No substitution-risk score is asserted.</x:v>
      </x:c>
      <x:c r="O13" s="35" t="str">
        <x:v>Keep outside confirmed-supplier leaderboard absent relation-level award or program proof.</x:v>
      </x:c>
      <x:c r="P13" s="35" t="str">
        <x:v>https://static.cninfo.com.cn/finalpage/2025-08-28/1224593800.PDF</x:v>
      </x:c>
    </x:row>
    <x:row r="14" ht="72" customHeight="1">
      <x:c r="A14" s="35" t="str"/>
      <x:c r="B14" s="35" t="str">
        <x:v>中科空网（郑州）安全技术有限公司</x:v>
      </x:c>
      <x:c r="C14" s="35" t="str">
        <x:v>counter_UAS_detection_EW_and_control</x:v>
      </x:c>
      <x:c r="D14" s="35" t="str">
        <x:v>counter_UAS_integrator</x:v>
      </x:c>
      <x:c r="E14" s="35" t="str">
        <x:v>provisional_watchlist</x:v>
      </x:c>
      <x:c r="F14" s="35" t="n">
        <x:v>2</x:v>
      </x:c>
      <x:c r="G14" s="35" t="n">
        <x:v>3</x:v>
      </x:c>
      <x:c r="H14" s="35" t="n">
        <x:v>1</x:v>
      </x:c>
      <x:c r="I14" s="35" t="str">
        <x:v>E2</x:v>
      </x:c>
      <x:c r="J14" s="35" t="str">
        <x:v>U2</x:v>
      </x:c>
      <x:c r="K14" s="35" t="n">
        <x:v>49</x:v>
      </x:c>
      <x:c r="L14" s="35" t="n">
        <x:v>34</x:v>
      </x:c>
      <x:c r="M14" s="35" t="n">
        <x:v>1</x:v>
      </x:c>
      <x:c r="N14" s="35" t="str">
        <x:v>1 atomic evidence record(s), 1 distinct source(s). Criticality is 2/4; production maturity is U2; cross-domain leverage is 1/4. No substitution-risk score is asserted.</x:v>
      </x:c>
      <x:c r="O14" s="35" t="str">
        <x:v>Test certificate is not military procurement or proof of production volume; 21 of 26 firms were excellent so individual criticality must remain moderate</x:v>
      </x:c>
      <x:c r="P14" s="35" t="str">
        <x:v>https://news.21csp.com.cn/special/2024blh/202410/11425149.html</x:v>
      </x:c>
    </x:row>
    <x:row r="15" ht="72" customHeight="1">
      <x:c r="A15" s="35" t="str"/>
      <x:c r="B15" s="35" t="str">
        <x:v>北京博宏科元信息科技有限公司</x:v>
      </x:c>
      <x:c r="C15" s="35" t="str">
        <x:v>counter_UAS_detection_EW_and_control</x:v>
      </x:c>
      <x:c r="D15" s="35" t="str">
        <x:v>counter_UAS_integrator</x:v>
      </x:c>
      <x:c r="E15" s="35" t="str">
        <x:v>provisional_watchlist</x:v>
      </x:c>
      <x:c r="F15" s="35" t="n">
        <x:v>2</x:v>
      </x:c>
      <x:c r="G15" s="35" t="n">
        <x:v>3</x:v>
      </x:c>
      <x:c r="H15" s="35" t="n">
        <x:v>1</x:v>
      </x:c>
      <x:c r="I15" s="35" t="str">
        <x:v>E2</x:v>
      </x:c>
      <x:c r="J15" s="35" t="str">
        <x:v>U2</x:v>
      </x:c>
      <x:c r="K15" s="35" t="n">
        <x:v>49</x:v>
      </x:c>
      <x:c r="L15" s="35" t="n">
        <x:v>34</x:v>
      </x:c>
      <x:c r="M15" s="35" t="n">
        <x:v>2</x:v>
      </x:c>
      <x:c r="N15" s="35" t="str">
        <x:v>2 atomic evidence record(s), 2 distinct source(s). Criticality is 2/4; production maturity is U2; cross-domain leverage is 1/4. No substitution-risk score is asserted.</x:v>
      </x:c>
      <x:c r="O15" s="35" t="str">
        <x:v>The test result alone establishes neither actual customer nor in-house component manufacture | The statement provides neither a named defense customer nor independent production/acceptance evidence; team pedigree is not evidence of defense supply</x:v>
      </x:c>
      <x:c r="P15" s="35" t="str">
        <x:v>https://news.21csp.com.cn/special/2024blh/202410/11425149.html | https://www.bhky.net.cn/</x:v>
      </x:c>
    </x:row>
    <x:row r="16" ht="72" customHeight="1">
      <x:c r="A16" s="35" t="str"/>
      <x:c r="B16" s="35" t="str">
        <x:v>杭州星辰大海科技有限公司</x:v>
      </x:c>
      <x:c r="C16" s="35" t="str">
        <x:v>counter_UAS_detection_EW_and_control</x:v>
      </x:c>
      <x:c r="D16" s="35" t="str">
        <x:v>counter_UAS_integrator</x:v>
      </x:c>
      <x:c r="E16" s="35" t="str">
        <x:v>provisional_watchlist</x:v>
      </x:c>
      <x:c r="F16" s="35" t="n">
        <x:v>2</x:v>
      </x:c>
      <x:c r="G16" s="35" t="n">
        <x:v>3</x:v>
      </x:c>
      <x:c r="H16" s="35" t="n">
        <x:v>1</x:v>
      </x:c>
      <x:c r="I16" s="35" t="str">
        <x:v>E2</x:v>
      </x:c>
      <x:c r="J16" s="35" t="str">
        <x:v>U2</x:v>
      </x:c>
      <x:c r="K16" s="35" t="n">
        <x:v>49</x:v>
      </x:c>
      <x:c r="L16" s="35" t="n">
        <x:v>34</x:v>
      </x:c>
      <x:c r="M16" s="35" t="n">
        <x:v>2</x:v>
      </x:c>
      <x:c r="N16" s="35" t="str">
        <x:v>2 atomic evidence record(s), 2 distinct source(s). Criticality is 2/4; production maturity is U2; cross-domain leverage is 1/4. No substitution-risk score is asserted.</x:v>
      </x:c>
      <x:c r="O16" s="35" t="str">
        <x:v>No ranking order or end-user acceptance is supplied; do not transform certificate into an award | All defense-work and IP assertions are company statements in a recruitment profile; no named contract customer or delivery is provided</x:v>
      </x:c>
      <x:c r="P16" s="35" t="str">
        <x:v>https://news.21csp.com.cn/special/2024blh/202410/11425149.html | https://www.career.zju.edu.cn/jyxt/sczp/zpztgl/ckZpgwList.zf?dwxxid=JG0000670</x:v>
      </x:c>
    </x:row>
    <x:row r="17" ht="72" customHeight="1">
      <x:c r="A17" s="35" t="str"/>
      <x:c r="B17" s="35" t="str">
        <x:v>西安宇航者创新科技有限公司</x:v>
      </x:c>
      <x:c r="C17" s="35" t="str">
        <x:v>unmanned_platforms_swarming_and_mission_integration</x:v>
      </x:c>
      <x:c r="D17" s="35" t="str">
        <x:v>unmanned_systems_enabler</x:v>
      </x:c>
      <x:c r="E17" s="35" t="str">
        <x:v>provisional_watchlist</x:v>
      </x:c>
      <x:c r="F17" s="35" t="n">
        <x:v>2</x:v>
      </x:c>
      <x:c r="G17" s="35" t="n">
        <x:v>2</x:v>
      </x:c>
      <x:c r="H17" s="35" t="n">
        <x:v>1</x:v>
      </x:c>
      <x:c r="I17" s="35" t="str">
        <x:v>E3</x:v>
      </x:c>
      <x:c r="J17" s="35" t="str">
        <x:v>U1</x:v>
      </x:c>
      <x:c r="K17" s="35" t="n">
        <x:v>40</x:v>
      </x:c>
      <x:c r="L17" s="35" t="n">
        <x:v>34</x:v>
      </x:c>
      <x:c r="M17" s="35" t="n">
        <x:v>2</x:v>
      </x:c>
      <x:c r="N17" s="35" t="str">
        <x:v>2 atomic evidence record(s), 2 distinct source(s). Criticality is 2/4; production maturity is U1; cross-domain leverage is 1/4. No substitution-risk score is asserted.</x:v>
      </x:c>
      <x:c r="O17" s="35" t="str">
        <x:v>Intended sole source is not a completed transaction and public security does not establish military supply | No source here identifies the supplied parts or proves original manufacturing; likely service/integration role must remain unresolved</x:v>
      </x:c>
      <x:c r="P17" s="35" t="str">
        <x:v>https://www.ccgp-shaanxi.gov.cn/freecms/site/shaanxi/ggxx/info/2024/8a69c037932429a3019324ab328a32fe.html | https://www.plap.mil.cn/freecms/site/juncai/ggxx/info/2026/8a1d03e69cd1fb5c019cd6e59f9a252b.html</x:v>
      </x:c>
    </x:row>
    <x:row r="18" ht="72" customHeight="1">
      <x:c r="A18" s="35" t="str"/>
      <x:c r="B18" s="35" t="str">
        <x:v>中科空网（郑州）安全技术有限公司</x:v>
      </x:c>
      <x:c r="C18" s="35" t="str">
        <x:v>unmanned_platforms_swarming_and_mission_integration</x:v>
      </x:c>
      <x:c r="D18" s="35" t="str">
        <x:v>unmanned_systems_enabler</x:v>
      </x:c>
      <x:c r="E18" s="35" t="str">
        <x:v>provisional_watchlist</x:v>
      </x:c>
      <x:c r="F18" s="35" t="n">
        <x:v>2</x:v>
      </x:c>
      <x:c r="G18" s="35" t="n">
        <x:v>3</x:v>
      </x:c>
      <x:c r="H18" s="35" t="n">
        <x:v>1</x:v>
      </x:c>
      <x:c r="I18" s="35" t="str">
        <x:v>E2</x:v>
      </x:c>
      <x:c r="J18" s="35" t="str">
        <x:v>U1</x:v>
      </x:c>
      <x:c r="K18" s="35" t="n">
        <x:v>44</x:v>
      </x:c>
      <x:c r="L18" s="35" t="n">
        <x:v>31</x:v>
      </x:c>
      <x:c r="M18" s="35" t="n">
        <x:v>1</x:v>
      </x:c>
      <x:c r="N18" s="35" t="str">
        <x:v>1 atomic evidence record(s), 1 distinct source(s). Criticality is 2/4; production maturity is U1; cross-domain leverage is 1/4. No substitution-risk score is asserted.</x:v>
      </x:c>
      <x:c r="O18" s="35" t="str">
        <x:v>Corporate origin and solution claims do not establish a defense contract production volume or unique technical advantage</x:v>
      </x:c>
      <x:c r="P18" s="35" t="str">
        <x:v>https://www.zkkwgs.com/</x:v>
      </x:c>
    </x:row>
    <x:row r="19" ht="72" customHeight="1">
      <x:c r="A19" s="35" t="str"/>
      <x:c r="B19" s="35" t="str">
        <x:v>北京卓翼智能科技有限公司</x:v>
      </x:c>
      <x:c r="C19" s="35" t="str">
        <x:v>unmanned_platforms_swarming_and_mission_integration</x:v>
      </x:c>
      <x:c r="D19" s="35" t="str">
        <x:v>unmanned_systems_enabler</x:v>
      </x:c>
      <x:c r="E19" s="35" t="str">
        <x:v>provisional_watchlist</x:v>
      </x:c>
      <x:c r="F19" s="35" t="n">
        <x:v>2</x:v>
      </x:c>
      <x:c r="G19" s="35" t="n">
        <x:v>3</x:v>
      </x:c>
      <x:c r="H19" s="35" t="n">
        <x:v>1</x:v>
      </x:c>
      <x:c r="I19" s="35" t="str">
        <x:v>E2</x:v>
      </x:c>
      <x:c r="J19" s="35" t="str">
        <x:v>U1</x:v>
      </x:c>
      <x:c r="K19" s="35" t="n">
        <x:v>44</x:v>
      </x:c>
      <x:c r="L19" s="35" t="n">
        <x:v>31</x:v>
      </x:c>
      <x:c r="M19" s="35" t="n">
        <x:v>2</x:v>
      </x:c>
      <x:c r="N19" s="35" t="str">
        <x:v>2 atomic evidence record(s), 2 distinct source(s). Criticality is 2/4; production maturity is U1; cross-domain leverage is 1/4. No substitution-risk score is asserted.</x:v>
      </x:c>
      <x:c r="O19" s="35" t="str">
        <x:v>Corporate statement does not name a defense customer or independently demonstrate production volume | Candidate notice is not an executed award and does not name a buyer or end user; score must not assume delivery or military fielding</x:v>
      </x:c>
      <x:c r="P19" s="35" t="str">
        <x:v>https://www.droneyee.com/ | https://csscbidding.com/jyxx/003002/003002003/20250919/d89aff16-b40c-46c5-a6b0-78b05a3e9c36.html</x:v>
      </x:c>
    </x:row>
    <x:row r="20" ht="72" customHeight="1">
      <x:c r="A20" s="35" t="str"/>
      <x:c r="B20" s="35" t="str">
        <x:v>湖南超能机器人技术有限公司</x:v>
      </x:c>
      <x:c r="C20" s="35" t="str">
        <x:v>robotics_and_autonomy_integration</x:v>
      </x:c>
      <x:c r="D20" s="35" t="str">
        <x:v>production_enabler</x:v>
      </x:c>
      <x:c r="E20" s="35" t="str">
        <x:v>provisional_watchlist</x:v>
      </x:c>
      <x:c r="F20" s="35" t="n">
        <x:v>2</x:v>
      </x:c>
      <x:c r="G20" s="35" t="n">
        <x:v>3</x:v>
      </x:c>
      <x:c r="H20" s="35" t="n">
        <x:v>1</x:v>
      </x:c>
      <x:c r="I20" s="35" t="str">
        <x:v>E2</x:v>
      </x:c>
      <x:c r="J20" s="35" t="str">
        <x:v>U1</x:v>
      </x:c>
      <x:c r="K20" s="35" t="n">
        <x:v>44</x:v>
      </x:c>
      <x:c r="L20" s="35" t="n">
        <x:v>31</x:v>
      </x:c>
      <x:c r="M20" s="35" t="n">
        <x:v>1</x:v>
      </x:c>
      <x:c r="N20" s="35" t="str">
        <x:v>1 atomic evidence record(s), 1 distinct source(s). Criticality is 2/4; production maturity is U1; cross-domain leverage is 1/4. No substitution-risk score is asserted.</x:v>
      </x:c>
      <x:c r="O20" s="35" t="str">
        <x:v>The page explicitly calls the outcome pre-award; it is not proof of a final contract delivery or operational deployment</x:v>
      </x:c>
      <x:c r="P20" s="35" t="str">
        <x:v>https://www.plap.mil.cn/freecms/site/juncai/ggxx/info/2026/8a1d02829e1f2e0a019e3f202afe5448.html</x:v>
      </x:c>
    </x:row>
    <x:row r="21" ht="72" customHeight="1">
      <x:c r="A21" s="35" t="str"/>
      <x:c r="B21" s="35" t="str">
        <x:v>南京山峦安全技术有限公司</x:v>
      </x:c>
      <x:c r="C21" s="35" t="str">
        <x:v>counter_UAS_detection_EW_and_control</x:v>
      </x:c>
      <x:c r="D21" s="35" t="str">
        <x:v>counter_UAS_integrator</x:v>
      </x:c>
      <x:c r="E21" s="35" t="str">
        <x:v>provisional_watchlist</x:v>
      </x:c>
      <x:c r="F21" s="35" t="n">
        <x:v>2</x:v>
      </x:c>
      <x:c r="G21" s="35" t="n">
        <x:v>2</x:v>
      </x:c>
      <x:c r="H21" s="35" t="n">
        <x:v>1</x:v>
      </x:c>
      <x:c r="I21" s="35" t="str">
        <x:v>E2</x:v>
      </x:c>
      <x:c r="J21" s="35" t="str">
        <x:v>U1</x:v>
      </x:c>
      <x:c r="K21" s="35" t="n">
        <x:v>40</x:v>
      </x:c>
      <x:c r="L21" s="35" t="n">
        <x:v>28</x:v>
      </x:c>
      <x:c r="M21" s="35" t="n">
        <x:v>3</x:v>
      </x:c>
      <x:c r="N21" s="35" t="str">
        <x:v>3 atomic evidence record(s), 3 distinct source(s). Criticality is 2/4; production maturity is U1; cross-domain leverage is 1/4. No substitution-risk score is asserted.</x:v>
      </x:c>
      <x:c r="O21" s="35" t="str">
        <x:v>Corporate catalogue does not establish in-house manufacture of every listed module or military acceptance; not a dated trend source | Reconcile the full-page award-language and exact posting date before assigning an award state; score ease of replacement high because the test market is crowded | This is explicit negative award evidence; do not record Nanjing Shanluan as the 2024 supplier</x:v>
      </x:c>
      <x:c r="P21" s="35" t="str">
        <x:v>https://www.njslaq.com/tagdetail/1699655190063484928.html | https://www.plap.mil.cn/freecms/site/juncai/ggxx/info/2025/8a1d04b895320c5701964d64e62a7106.html | https://www.plap.mil.cn/freecms/site/juncai/ggxx/info/2024/8a1d01109163a9d001919d4348c336b8.html</x:v>
      </x:c>
    </x:row>
    <x:row r="22" ht="72" customHeight="1">
      <x:c r="A22" s="35" t="str"/>
      <x:c r="B22" s="35" t="str">
        <x:v>四川金朝电子工程有限公司</x:v>
      </x:c>
      <x:c r="C22" s="35" t="str">
        <x:v>counter_UAS_detection_EW_and_control</x:v>
      </x:c>
      <x:c r="D22" s="35" t="str">
        <x:v>counter_UAS_integrator</x:v>
      </x:c>
      <x:c r="E22" s="35" t="str">
        <x:v>provisional_watchlist</x:v>
      </x:c>
      <x:c r="F22" s="35" t="n">
        <x:v>2</x:v>
      </x:c>
      <x:c r="G22" s="35" t="n">
        <x:v>2</x:v>
      </x:c>
      <x:c r="H22" s="35" t="n">
        <x:v>1</x:v>
      </x:c>
      <x:c r="I22" s="35" t="str">
        <x:v>E2</x:v>
      </x:c>
      <x:c r="J22" s="35" t="str">
        <x:v>U1</x:v>
      </x:c>
      <x:c r="K22" s="35" t="n">
        <x:v>40</x:v>
      </x:c>
      <x:c r="L22" s="35" t="n">
        <x:v>28</x:v>
      </x:c>
      <x:c r="M22" s="35" t="n">
        <x:v>1</x:v>
      </x:c>
      <x:c r="N22" s="35" t="str">
        <x:v>1 atomic evidence record(s), 1 distinct source(s). Criticality is 2/4; production maturity is U1; cross-domain leverage is 1/4. No substitution-risk score is asserted.</x:v>
      </x:c>
      <x:c r="O22" s="35" t="str">
        <x:v>The notice names a supplier but does not identify the OEM or demonstrate that Jinchao designed the robot; do not treat it as a robot manufacturer</x:v>
      </x:c>
      <x:c r="P22" s="35" t="str">
        <x:v>https://www.plap.mil.cn/freecms/site/juncai/ggxx/info/2026/8a1d002c9afc0109019c50c1650c0a41.html</x:v>
      </x:c>
    </x:row>
    <x:row r="23" ht="72" customHeight="1">
      <x:c r="A23" s="35" t="str"/>
      <x:c r="B23" s="35" t="str">
        <x:v>山东中科长天科技有限公司</x:v>
      </x:c>
      <x:c r="C23" s="35" t="str">
        <x:v>unmanned_platforms_swarming_and_mission_integration</x:v>
      </x:c>
      <x:c r="D23" s="35" t="str">
        <x:v>unmanned_systems_enabler</x:v>
      </x:c>
      <x:c r="E23" s="35" t="str">
        <x:v>provisional_watchlist</x:v>
      </x:c>
      <x:c r="F23" s="35" t="n">
        <x:v>2</x:v>
      </x:c>
      <x:c r="G23" s="35" t="n">
        <x:v>2</x:v>
      </x:c>
      <x:c r="H23" s="35" t="n">
        <x:v>1</x:v>
      </x:c>
      <x:c r="I23" s="35" t="str">
        <x:v>E2</x:v>
      </x:c>
      <x:c r="J23" s="35" t="str">
        <x:v>U1</x:v>
      </x:c>
      <x:c r="K23" s="35" t="n">
        <x:v>40</x:v>
      </x:c>
      <x:c r="L23" s="35" t="n">
        <x:v>28</x:v>
      </x:c>
      <x:c r="M23" s="35" t="n">
        <x:v>1</x:v>
      </x:c>
      <x:c r="N23" s="35" t="str">
        <x:v>1 atomic evidence record(s), 1 distinct source(s). Criticality is 2/4; production maturity is U1; cross-domain leverage is 1/4. No substitution-risk score is asserted.</x:v>
      </x:c>
      <x:c r="O23" s="35" t="str">
        <x:v>Search index must be reconciled against full notice before inserting an award state; it does not demonstrate the supplier manufactured the named kit or controller</x:v>
      </x:c>
      <x:c r="P23" s="35" t="str">
        <x:v>https://www.plap.mil.cn/freecms/site/juncai/ggxx/info/2025/8a1d04049afc00a8019b2154b45f4a58.html?noticeType=001024</x:v>
      </x:c>
    </x:row>
    <x:row r="24" ht="72" customHeight="1">
      <x:c r="A24" s="35" t="str"/>
      <x:c r="B24" s="35" t="str">
        <x:v>广东纳萨斯通信科技有限公司</x:v>
      </x:c>
      <x:c r="C24" s="35" t="str">
        <x:v>counter_UAS_detection_EW_and_control</x:v>
      </x:c>
      <x:c r="D24" s="35" t="str">
        <x:v>counter_UAS_integrator</x:v>
      </x:c>
      <x:c r="E24" s="35" t="str">
        <x:v>provisional_watchlist</x:v>
      </x:c>
      <x:c r="F24" s="35" t="n">
        <x:v>2</x:v>
      </x:c>
      <x:c r="G24" s="35" t="n">
        <x:v>2</x:v>
      </x:c>
      <x:c r="H24" s="35" t="n">
        <x:v>1</x:v>
      </x:c>
      <x:c r="I24" s="35" t="str">
        <x:v>E2</x:v>
      </x:c>
      <x:c r="J24" s="35" t="str">
        <x:v>U1</x:v>
      </x:c>
      <x:c r="K24" s="35" t="n">
        <x:v>40</x:v>
      </x:c>
      <x:c r="L24" s="35" t="n">
        <x:v>28</x:v>
      </x:c>
      <x:c r="M24" s="35" t="n">
        <x:v>3</x:v>
      </x:c>
      <x:c r="N24" s="35" t="str">
        <x:v>3 atomic evidence record(s), 3 distinct source(s). Criticality is 2/4; production maturity is U1; cross-domain leverage is 1/4. No substitution-risk score is asserted.</x:v>
      </x:c>
      <x:c r="O24" s="35" t="str">
        <x:v>Corporate product listing does not prove an awarded item was internally manufactured or delivered to a defense end user | Still not a final award or completed delivery; competitive field and shared-brand issue in the notice argue against high irreplaceability | Exact posting date needs direct page retrieval; page uses pre-award language</x:v>
      </x:c>
      <x:c r="P24" s="35" t="str">
        <x:v>https://www.donasas.com/ | https://www.plap.mil.cn/freecms/site/juncai/ggxx/info/2026/8a1d002c9afc0109019c4fbf41ba041a.html | https://www.plap.mil.cn/freecms/site/juncai/ggxx/info/2026/8a1d03e69cd1fb5c019d0a2b42f932db.html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e3002dd9d27440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32" hidden="0" customWidth="1"/>
    <x:col min="4" max="4" width="37" hidden="0" customWidth="1"/>
    <x:col min="5" max="5" width="39" hidden="0" customWidth="1"/>
    <x:col min="6" max="6" width="26" hidden="0" customWidth="1"/>
    <x:col min="7" max="7" width="39" hidden="0" customWidth="1"/>
    <x:col min="8" max="8" width="11" hidden="0" customWidth="1"/>
    <x:col min="9" max="9" width="68" hidden="0" customWidth="1"/>
    <x:col min="10" max="10" width="68" hidden="0" customWidth="1"/>
    <x:col min="11" max="11" width="48" hidden="0" customWidth="1"/>
    <x:col min="12" max="12" width="44" hidden="0" customWidth="1"/>
    <x:col min="13" max="13" width="62" hidden="0" customWidth="1"/>
  </x:cols>
  <x:sheetData>
    <x:row r="1" ht="32" customHeight="1">
      <x:c r="A1" s="3" t="str">
        <x:v>Foreign supplier/dependency evidence — bounded scope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Named direct historical relationships, installed-base context, and sector exposure are deliberately kept distinct. None of these rows changes a domestic supplier’s score or implies current defense-program dependence.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1" t="str">
        <x:v>Record ID</x:v>
      </x:c>
      <x:c r="B4" s="11" t="str">
        <x:v>Chinese entity / sector</x:v>
      </x:c>
      <x:c r="C4" s="11" t="str">
        <x:v>Foreign supplier</x:v>
      </x:c>
      <x:c r="D4" s="11" t="str">
        <x:v>Technology</x:v>
      </x:c>
      <x:c r="E4" s="11" t="str">
        <x:v>Relationship class</x:v>
      </x:c>
      <x:c r="F4" s="11" t="str">
        <x:v>Activity window</x:v>
      </x:c>
      <x:c r="G4" s="11" t="str">
        <x:v>Currentness</x:v>
      </x:c>
      <x:c r="H4" s="11" t="str">
        <x:v>Confidence</x:v>
      </x:c>
      <x:c r="I4" s="11" t="str">
        <x:v>Claim</x:v>
      </x:c>
      <x:c r="J4" s="11" t="str">
        <x:v>Inference limit</x:v>
      </x:c>
      <x:c r="K4" s="11" t="str">
        <x:v>Scorer treatment</x:v>
      </x:c>
      <x:c r="L4" s="11" t="str">
        <x:v>Source title</x:v>
      </x:c>
      <x:c r="M4" s="11" t="str">
        <x:v>Source URL</x:v>
      </x:c>
    </x:row>
    <x:row r="5" ht="84" customHeight="1">
      <x:c r="A5" s="35" t="str">
        <x:v>DEP-001</x:v>
      </x:c>
      <x:c r="B5" s="35" t="str">
        <x:v>SMIC group</x:v>
      </x:c>
      <x:c r="C5" s="35" t="str">
        <x:v>Applied Materials / Applied Materials Korea</x:v>
      </x:c>
      <x:c r="D5" s="35" t="str">
        <x:v>ion implanters and semiconductor production tools</x:v>
      </x:c>
      <x:c r="E5" s="35" t="str">
        <x:v>F1 historical direct production-tool relationship</x:v>
      </x:c>
      <x:c r="F5" s="35" t="str">
        <x:v>2021-03-23 to 2022-06-03</x:v>
      </x:c>
      <x:c r="G5" s="35" t="str">
        <x:v>historical; do not infer current purchasing</x:v>
      </x:c>
      <x:c r="H5" s="35" t="str">
        <x:v>High</x:v>
      </x:c>
      <x:c r="I5" s="35" t="str">
        <x:v>BIS records 54 reexports of ion-implant tools from Applied Materials Korea to SMIC group entities, valued at about US$118.45m.</x:v>
      </x:c>
      <x:c r="J5" s="35" t="str">
        <x:v>The order aggregates SMIC group entities; it does not allocate tools, value, models, or end use to a particular fab or defense chip.</x:v>
      </x:c>
      <x:c r="K5" s="35" t="str">
        <x:v>Context only — not used for supplier criticality or fragility score.</x:v>
      </x:c>
      <x:c r="L5" s="35" t="str">
        <x:v>BIS final order concerning Applied Materials, Inc.</x:v>
      </x:c>
      <x:c r="M5" s="35" t="str">
        <x:v>https://www.bis.gov/media/2587</x:v>
      </x:c>
    </x:row>
    <x:row r="6" ht="84" customHeight="1">
      <x:c r="A6" s="35" t="str">
        <x:v>DEP-002</x:v>
      </x:c>
      <x:c r="B6" s="35" t="str">
        <x:v>SMIC group</x:v>
      </x:c>
      <x:c r="C6" s="35" t="str">
        <x:v>Applied Materials</x:v>
      </x:c>
      <x:c r="D6" s="35" t="str">
        <x:v>installed semiconductor production-tool base</x:v>
      </x:c>
      <x:c r="E6" s="35" t="str">
        <x:v>F2 historical installed-base / ongoing-operation context</x:v>
      </x:c>
      <x:c r="F6" s="35" t="str">
        <x:v>2016 to 2020 purchases; operating context reported in 2026 order</x:v>
      </x:c>
      <x:c r="G6" s="35" t="str">
        <x:v>legacy installed-base exposure; not current procurement evidence</x:v>
      </x:c>
      <x:c r="H6" s="35" t="str">
        <x:v>High</x:v>
      </x:c>
      <x:c r="I6" s="35" t="str">
        <x:v>BIS reports roughly US$1.4bn in Applied Materials tools acquired in 2016–20 and says many were still operating when the 2026 order was issued.</x:v>
      </x:c>
      <x:c r="J6" s="35" t="str">
        <x:v>This supports an installed-base flag only; it does not establish ongoing service access, a fab-specific dependency, or defense end use.</x:v>
      </x:c>
      <x:c r="K6" s="35" t="str">
        <x:v>Context only — not used for supplier criticality or fragility score.</x:v>
      </x:c>
      <x:c r="L6" s="35" t="str">
        <x:v>BIS final order concerning Applied Materials, Inc.</x:v>
      </x:c>
      <x:c r="M6" s="35" t="str">
        <x:v>https://www.bis.gov/media/2587</x:v>
      </x:c>
    </x:row>
    <x:row r="7" ht="84" customHeight="1">
      <x:c r="A7" s="35" t="str">
        <x:v>DEP-003</x:v>
      </x:c>
      <x:c r="B7" s="35" t="str">
        <x:v>SMIC Beijing and SMIC North</x:v>
      </x:c>
      <x:c r="C7" s="35" t="str">
        <x:v>Coastal PVA Technology</x:v>
      </x:c>
      <x:c r="D7" s="35" t="str">
        <x:v>wafer-cleaning brushes / post-etch consumables</x:v>
      </x:c>
      <x:c r="E7" s="35" t="str">
        <x:v>F1 historical direct consumable/process-tool edge</x:v>
      </x:c>
      <x:c r="F7" s="35" t="str">
        <x:v>2021-05 to 2024-05</x:v>
      </x:c>
      <x:c r="G7" s="35" t="str">
        <x:v>historical; no current-supply claim</x:v>
      </x:c>
      <x:c r="H7" s="35" t="str">
        <x:v>High</x:v>
      </x:c>
      <x:c r="I7" s="35" t="str">
        <x:v>BIS records 18 direct- and distributor-mediated exports of wafer-cleaning products to SMIC Beijing/North between 2021 and 2024.</x:v>
      </x:c>
      <x:c r="J7" s="35" t="str">
        <x:v>No recipient allocation, process node, present sourcing, or downstream defense use is established.</x:v>
      </x:c>
      <x:c r="K7" s="35" t="str">
        <x:v>Context only — not used for supplier criticality or fragility score.</x:v>
      </x:c>
      <x:c r="L7" s="35" t="str">
        <x:v>BIS final settlement/order concerning Coastal PVA Technology</x:v>
      </x:c>
      <x:c r="M7" s="35" t="str">
        <x:v>https://www.bis.gov/media/documents/coastal-pva-technology-inc-4-13-2026-rev.pdf</x:v>
      </x:c>
    </x:row>
    <x:row r="8" ht="84" customHeight="1">
      <x:c r="A8" s="35" t="str">
        <x:v>DEP-004</x:v>
      </x:c>
      <x:c r="B8" s="35" t="str">
        <x:v>SJ Semiconductor / SJS</x:v>
      </x:c>
      <x:c r="C8" s="35" t="str">
        <x:v>GlobalFoundries</x:v>
      </x:c>
      <x:c r="D8" s="35" t="str">
        <x:v>silicon wafers for third-party OSAT processing</x:v>
      </x:c>
      <x:c r="E8" s="35" t="str">
        <x:v>F1 historical shipment / OSAT-processing edge</x:v>
      </x:c>
      <x:c r="F8" s="35" t="str">
        <x:v>2021-02-16 to 2022-10-26</x:v>
      </x:c>
      <x:c r="G8" s="35" t="str">
        <x:v>historical; no current sourcing claim</x:v>
      </x:c>
      <x:c r="H8" s="35" t="str">
        <x:v>High</x:v>
      </x:c>
      <x:c r="I8" s="35" t="str">
        <x:v>BIS records 5,697 silicon wafers exported to SJS as a third-party OSAT designated by an unnamed GlobalFoundries customer.</x:v>
      </x:c>
      <x:c r="J8" s="35" t="str">
        <x:v>Do not say SJS purchased the wafers, identify the unknown customer, infer a downstream chip, or treat this as current sourcing.</x:v>
      </x:c>
      <x:c r="K8" s="35" t="str">
        <x:v>Context only — not used for supplier criticality or fragility score.</x:v>
      </x:c>
      <x:c r="L8" s="35" t="str">
        <x:v>BIS settlement concerning GlobalFoundries exports to SJ Semiconductor</x:v>
      </x:c>
      <x:c r="M8" s="35" t="str">
        <x:v>https://www.bis.gov/media/1335</x:v>
      </x:c>
    </x:row>
    <x:row r="9" ht="84" customHeight="1">
      <x:c r="A9" s="35" t="str">
        <x:v>DEP-005</x:v>
      </x:c>
      <x:c r="B9" s="35" t="str">
        <x:v>Shanghai Academy of Spaceflight Technology / CASC-8</x:v>
      </x:c>
      <x:c r="C9" s="35" t="str">
        <x:v>TE Connectivity</x:v>
      </x:c>
      <x:c r="D9" s="35" t="str">
        <x:v>space-grade/general wires, connectors and clamps</x:v>
      </x:c>
      <x:c r="E9" s="35" t="str">
        <x:v>F1 historical named commercial relationship</x:v>
      </x:c>
      <x:c r="F9" s="35" t="str">
        <x:v>2016-12 to 2017-12</x:v>
      </x:c>
      <x:c r="G9" s="35" t="str">
        <x:v>historical; no current installed-base claim</x:v>
      </x:c>
      <x:c r="H9" s="35" t="str">
        <x:v>High</x:v>
      </x:c>
      <x:c r="I9" s="35" t="str">
        <x:v>BIS records 36 exports to CASC-8 of wires, connectors and clamps via a distributor.</x:v>
      </x:c>
      <x:c r="J9" s="35" t="str">
        <x:v>EAR99 catalog items; no launcher, missile, satellite program, or current installed-base is identified.</x:v>
      </x:c>
      <x:c r="K9" s="35" t="str">
        <x:v>Context only — not used for supplier criticality or fragility score.</x:v>
      </x:c>
      <x:c r="L9" s="35" t="str">
        <x:v>BIS settlement / proposed charging letter concerning TE Connectivity</x:v>
      </x:c>
      <x:c r="M9" s="35" t="str">
        <x:v>https://www.bis.gov/media/918</x:v>
      </x:c>
    </x:row>
    <x:row r="10" ht="84" customHeight="1">
      <x:c r="A10" s="35" t="str">
        <x:v>DEP-006</x:v>
      </x:c>
      <x:c r="B10" s="35" t="str">
        <x:v>China Aerodynamics Research and Development Center</x:v>
      </x:c>
      <x:c r="C10" s="35" t="str">
        <x:v>TE Connectivity</x:v>
      </x:c>
      <x:c r="D10" s="35" t="str">
        <x:v>pressure scanners for wind-tunnel analysis</x:v>
      </x:c>
      <x:c r="E10" s="35" t="str">
        <x:v>F1 historical named test-infrastructure supply</x:v>
      </x:c>
      <x:c r="F10" s="35" t="str">
        <x:v>2016-10 to 2019-10</x:v>
      </x:c>
      <x:c r="G10" s="35" t="str">
        <x:v>historical; no current service/access claim</x:v>
      </x:c>
      <x:c r="H10" s="35" t="str">
        <x:v>High</x:v>
      </x:c>
      <x:c r="I10" s="35" t="str">
        <x:v>BIS records 23 exports of pressure scanners to CARDC that were used in wind tunnels.</x:v>
      </x:c>
      <x:c r="J10" s="35" t="str">
        <x:v>The source does not identify a program, facility, scanner still in use, or ongoing support.</x:v>
      </x:c>
      <x:c r="K10" s="35" t="str">
        <x:v>Context only — not used for supplier criticality or fragility score.</x:v>
      </x:c>
      <x:c r="L10" s="35" t="str">
        <x:v>BIS settlement / proposed charging letter concerning TE Connectivity</x:v>
      </x:c>
      <x:c r="M10" s="35" t="str">
        <x:v>https://www.bis.gov/media/918</x:v>
      </x:c>
    </x:row>
    <x:row r="11" ht="84" customHeight="1">
      <x:c r="A11" s="35" t="str">
        <x:v>DEP-007</x:v>
      </x:c>
      <x:c r="B11" s="35" t="str">
        <x:v>Beihang University; CETC 14; Shandong Institute of Space Electronic Technology</x:v>
      </x:c>
      <x:c r="C11" s="35" t="str">
        <x:v>Haas Automation</x:v>
      </x:c>
      <x:c r="D11" s="35" t="str">
        <x:v>CNC machine maintenance parts</x:v>
      </x:c>
      <x:c r="E11" s="35" t="str">
        <x:v>F1 historical grouped maintenance-parts relationship</x:v>
      </x:c>
      <x:c r="F11" s="35" t="str">
        <x:v>2019-04 to 2024-03</x:v>
      </x:c>
      <x:c r="G11" s="35" t="str">
        <x:v>historical; no current maintenance claim</x:v>
      </x:c>
      <x:c r="H11" s="35" t="str">
        <x:v>High</x:v>
      </x:c>
      <x:c r="I11" s="35" t="str">
        <x:v>BIS describes 32 China-related maintenance-parts occurrences via authorized distributors, grouped across the named entities.</x:v>
      </x:c>
      <x:c r="J11" s="35" t="str">
        <x:v>Do not allocate counts, value, parts, particular machines, current maintenance, or a program to an individual recipient.</x:v>
      </x:c>
      <x:c r="K11" s="35" t="str">
        <x:v>Context only — not used for supplier criticality or fragility score.</x:v>
      </x:c>
      <x:c r="L11" s="35" t="str">
        <x:v>BIS release concerning Haas Automation</x:v>
      </x:c>
      <x:c r="M11" s="35" t="str">
        <x:v>https://www.bis.gov/press-release/haas-automation-pay-over-2.5-million-combined-civil-penalties-bis-ofac-prohibited-transactions-including</x:v>
      </x:c>
    </x:row>
    <x:row r="12" ht="84" customHeight="1">
      <x:c r="A12" s="35" t="str">
        <x:v>DEP-008</x:v>
      </x:c>
      <x:c r="B12" s="35" t="str">
        <x:v>Suzhou Hualin Micro-Nano Technology</x:v>
      </x:c>
      <x:c r="C12" s="35" t="str">
        <x:v>Ansys</x:v>
      </x:c>
      <x:c r="D12" s="35" t="str">
        <x:v>signal-simulation software licences</x:v>
      </x:c>
      <x:c r="E12" s="35" t="str">
        <x:v>F3 current/near-current commercial engineering-software exposure</x:v>
      </x:c>
      <x:c r="F12" s="35" t="str">
        <x:v>reported as of 2026-04-30</x:v>
      </x:c>
      <x:c r="G12" s="35" t="str">
        <x:v>current/near-current recorded acquisition; no renewal or defense-use evidence</x:v>
      </x:c>
      <x:c r="H12" s="35" t="str">
        <x:v>High</x:v>
      </x:c>
      <x:c r="I12" s="35" t="str">
        <x:v>The issuer lists RMB1.5364m in Ansys signal-simulation software for its MEMS wafer-test-probe R&amp;D and mass-production project.</x:v>
      </x:c>
      <x:c r="J12" s="35" t="str">
        <x:v>No license term, renewal, military customer, or defense end use is disclosed; exclude from DIB-fragility ranking.</x:v>
      </x:c>
      <x:c r="K12" s="35" t="str">
        <x:v>Context only — not used for supplier criticality or fragility score.</x:v>
      </x:c>
      <x:c r="L12" s="35" t="str">
        <x:v>SSE inquiry-response disclosure by Suzhou Hualin Micro-Nano Technology</x:v>
      </x:c>
      <x:c r="M12" s="35" t="str">
        <x:v>https://dataclouds.cninfo.com.cn/shgonggao/hsomarket/2026/20260529/66133a73679c42f3a761a8faf5acab2c.PDF</x:v>
      </x:c>
    </x:row>
    <x:row r="13" ht="84" customHeight="1">
      <x:c r="A13" s="35" t="str">
        <x:v>DEP-009</x:v>
      </x:c>
      <x:c r="B13" s="35" t="str">
        <x:v>Guangdong Xirui Intelligent Technology Co. Ltd.</x:v>
      </x:c>
      <x:c r="C13" s="35" t="str">
        <x:v>None identified</x:v>
      </x:c>
      <x:c r="D13" s="35" t="str">
        <x:v>robotic grinding workstations</x:v>
      </x:c>
      <x:c r="E13" s="35" t="str">
        <x:v>non-dependency correction</x:v>
      </x:c>
      <x:c r="F13" s="35" t="str">
        <x:v>2025-08-25</x:v>
      </x:c>
      <x:c r="G13" s="35" t="str">
        <x:v>not applicable</x:v>
      </x:c>
      <x:c r="H13" s="35" t="str">
        <x:v>High</x:v>
      </x:c>
      <x:c r="I13" s="35" t="str">
        <x:v>This new robotics evidence establishes a Chinese production-automation award, not a foreign supplier dependency.</x:v>
      </x:c>
      <x:c r="J13" s="35" t="str">
        <x:v>The award does not disclose component provenance or prove weapon-program supply.</x:v>
      </x:c>
      <x:c r="K13" s="35" t="str">
        <x:v>Context only — not used for supplier criticality or fragility score.</x:v>
      </x:c>
      <x:c r="L13" s="35" t="str">
        <x:v>Shanghai Waigaoqiao Shipbuilding final award for digital small-parts grinding robot workstation</x:v>
      </x:c>
      <x:c r="M13" s="35" t="str">
        <x:v>https://csscbidding.com/jyxx/003001/003001004/20250825/5a186f89-8939-4634-9bdc-bb09d21cbcbb.html</x:v>
      </x:c>
    </x:row>
    <x:row r="14" ht="84" customHeight="1">
      <x:c r="A14" s="35" t="str">
        <x:v>DEP-010</x:v>
      </x:c>
      <x:c r="B14" s="35" t="str">
        <x:v>Nanjing Gaohua Technology Co. Ltd.</x:v>
      </x:c>
      <x:c r="C14" s="35" t="str">
        <x:v>Unnamed foreign sensor-chip design/manufacturing and simulation-tool suppliers</x:v>
      </x:c>
      <x:c r="D14" s="35" t="str">
        <x:v>MEMS/ASIC design, manufacturing, models and process platforms</x:v>
      </x:c>
      <x:c r="E14" s="35" t="str">
        <x:v>F0 sector-level exposure</x:v>
      </x:c>
      <x:c r="F14" s="35" t="str">
        <x:v>2025 annual-report discussion</x:v>
      </x:c>
      <x:c r="G14" s="35" t="str">
        <x:v>sector statement; no company-specific transaction</x:v>
      </x:c>
      <x:c r="H14" s="35" t="str">
        <x:v>Medium</x:v>
      </x:c>
      <x:c r="I14" s="35" t="str">
        <x:v>The issuer describes sector-level reliance on imported core sensor-chip design/manufacturing and constraints in high-end MEMS/ASIC toolchains.</x:v>
      </x:c>
      <x:c r="J14" s="35" t="str">
        <x:v>No named foreign vendor or Gaohua-specific purchase is disclosed; retain as sector signal only.</x:v>
      </x:c>
      <x:c r="K14" s="35" t="str">
        <x:v>Sector exposure only — not a supplier edge or fragility score.</x:v>
      </x:c>
      <x:c r="L14" s="35" t="str">
        <x:v>Nanjing Gaohua Technology 2025 annual-report summary</x:v>
      </x:c>
      <x:c r="M14" s="35" t="str">
        <x:v>https://static.cninfo.com.cn/finalpage/2026/20260425/1225182440.PDF</x:v>
      </x:c>
    </x:row>
    <x:row r="15" ht="84" customHeight="1">
      <x:c r="A15" s="35" t="str">
        <x:v>DEP-011</x:v>
      </x:c>
      <x:c r="B15" s="35" t="str">
        <x:v>PLA procurement demand signal; supplier identity unresolved</x:v>
      </x:c>
      <x:c r="C15" s="35" t="str">
        <x:v>Named commercial FPV/flight-control brands; origin and supply path unverified in this record</x:v>
      </x:c>
      <x:c r="D15" s="35" t="str">
        <x:v>COTS FPV/UAV stack: STM32F722 flight controller, ESC, video transmitter, camera, receiver, motors and batteries</x:v>
      </x:c>
      <x:c r="E15" s="35" t="str">
        <x:v>procurement-intent component topology; not a supplier edge</x:v>
      </x:c>
      <x:c r="F15" s="35" t="str">
        <x:v>2025-05-09 notice</x:v>
      </x:c>
      <x:c r="G15" s="35" t="str">
        <x:v>procurement intent only; no completed purchase or delivery</x:v>
      </x:c>
      <x:c r="H15" s="35" t="str">
        <x:v>High</x:v>
      </x:c>
      <x:c r="I15" s="35" t="str">
        <x:v>The notice specifies a commercial component stack, including flight controllers, ESCs, video links, cameras, receivers, motors and batteries, with quantities for several components.</x:v>
      </x:c>
      <x:c r="J15" s="35" t="str">
        <x:v>This is an intent notice. It neither proves a completed purchase nor establishes the nationality, manufacturer, military qualification, or foreign dependence of the named commercial brands.</x:v>
      </x:c>
      <x:c r="K15" s="35" t="str">
        <x:v>Context only — not used for supplier criticality or fragility score.</x:v>
      </x:c>
      <x:c r="L15" s="35" t="str">
        <x:v>PLA FPV/UAV procurement-intent notice 2025-JLDZQU-W1006</x:v>
      </x:c>
      <x:c r="M15" s="35" t="str">
        <x:v>https://www.plap.mil.cn/freecms/site/juncai/ggxx/info/2025/8a1d013295320c440196b25961d76c1d.html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5891e88d2ab4b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34" hidden="0" customWidth="1"/>
    <x:col min="4" max="4" width="66" hidden="0" customWidth="1"/>
    <x:col min="5" max="5" width="66" hidden="0" customWidth="1"/>
    <x:col min="6" max="6" width="66" hidden="0" customWidth="1"/>
    <x:col min="7" max="7" width="11" hidden="0" customWidth="1"/>
    <x:col min="8" max="8" width="42" hidden="0" customWidth="1"/>
    <x:col min="9" max="9" width="34" hidden="0" customWidth="1"/>
    <x:col min="10" max="10" width="62" hidden="0" customWidth="1"/>
    <x:col min="11" max="11" width="12" hidden="0" customWidth="1"/>
  </x:cols>
  <x:sheetData>
    <x:row r="1" ht="32" customHeight="1">
      <x:c r="A1" s="3" t="str">
        <x:v>Robotics/AI/drone signals and active scorecard gaps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Signals show demand, experimentation, and supplier-layer structure. They are not automatically fielding, award, or deployment evidence.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1" t="str">
        <x:v>Signal ID</x:v>
      </x:c>
      <x:c r="B4" s="11" t="str">
        <x:v>Date</x:v>
      </x:c>
      <x:c r="C4" s="11" t="str">
        <x:v>Signal</x:v>
      </x:c>
      <x:c r="D4" s="11" t="str">
        <x:v>Confirmed fact</x:v>
      </x:c>
      <x:c r="E4" s="11" t="str">
        <x:v>Cautious inference</x:v>
      </x:c>
      <x:c r="F4" s="11" t="str">
        <x:v>Does not establish</x:v>
      </x:c>
      <x:c r="G4" s="11" t="str">
        <x:v>Confidence</x:v>
      </x:c>
      <x:c r="H4" s="11" t="str">
        <x:v>Recommended use</x:v>
      </x:c>
      <x:c r="I4" s="11" t="str">
        <x:v>Source type</x:v>
      </x:c>
      <x:c r="J4" s="11" t="str">
        <x:v>Source URL</x:v>
      </x:c>
    </x:row>
    <x:row r="5" ht="86" customHeight="1">
      <x:c r="A5" s="35" t="str">
        <x:v>DRA-SIG-005</x:v>
      </x:c>
      <x:c r="B5" s="35" t="str">
        <x:v>2025-12-16</x:v>
      </x:c>
      <x:c r="C5" s="35" t="str">
        <x:v>Fibre-optic UAS and open-source flight control entered an explicit procurement title</x:v>
      </x:c>
      <x:c r="D5" s="35" t="str">
        <x:v>A Military Procurement Network result notice is titled fibre-optic UAV kits and open-source flight-controller procurement and lists a first-ranked candidate</x:v>
      </x:c>
      <x:c r="E5" s="35" t="str">
        <x:v>The named product pair is a discrete public signal that fibre control and open-source FC layers warrant monitoring in the UAS ecosystem</x:v>
      </x:c>
      <x:c r="F5" s="35" t="str">
        <x:v>The notice does not show OEM identity a final contract technical performance or the scale of adoption</x:v>
      </x:c>
      <x:c r="G5" s="35" t="str">
        <x:v>Medium-High</x:v>
      </x:c>
      <x:c r="H5" s="35" t="str">
        <x:v>Add as a research-priority signal and unresolved supplier/OEM follow-up task</x:v>
      </x:c>
      <x:c r="I5" s="35" t="str">
        <x:v>Military Procurement Network result notice</x:v>
      </x:c>
      <x:c r="J5" s="35" t="str">
        <x:v>https://www.plap.mil.cn/freecms/site/juncai/ggxx/info/2025/8a1d04049afc00a8019b2154b45f4a58.html?noticeType=001024</x:v>
      </x:c>
    </x:row>
    <x:row r="6" ht="86" customHeight="1">
      <x:c r="A6" s="35" t="str">
        <x:v>DRA-SIG-004</x:v>
      </x:c>
      <x:c r="B6" s="35" t="str">
        <x:v>2025-08-25</x:v>
      </x:c>
      <x:c r="C6" s="35" t="str">
        <x:v>Robotic finishing is a concrete shipyard production layer</x:v>
      </x:c>
      <x:c r="D6" s="35" t="str">
        <x:v>Shanghai Waigaoqiao Shipbuilding issued two final awards to Guangdong Xirui for digital robot workstations for small and very-small part grinding totaling RMB 10370000</x:v>
      </x:c>
      <x:c r="E6" s="35" t="str">
        <x:v>Shipyard robot workcells are an observable qualification/throughput layer that may matter more to production capacity than headline vehicle makers</x:v>
      </x:c>
      <x:c r="F6" s="35" t="str">
        <x:v>The contracts do not show autonomous naval-platform production or wider shipyard deployment beyond the named workstations</x:v>
      </x:c>
      <x:c r="G6" s="35" t="str">
        <x:v>High</x:v>
      </x:c>
      <x:c r="H6" s="35" t="str">
        <x:v>Trend card: hidden production automation and quality-finishing bottlenecks</x:v>
      </x:c>
      <x:c r="I6" s="35" t="str">
        <x:v>CSSC final result notices</x:v>
      </x:c>
      <x:c r="J6" s="35" t="str">
        <x:v>https://csscbidding.com/jyxx/003001/003001004/20250825/5a186f89-8939-4634-9bdc-bb09d21cbcbb.html ; https://csscbidding.com/jyxx/003001/003001004/20250825/fc564718-4800-43a3-b82a-02c5058139fe.html</x:v>
      </x:c>
    </x:row>
    <x:row r="7" ht="86" customHeight="1">
      <x:c r="A7" s="35" t="str">
        <x:v>DRA-SIG-001</x:v>
      </x:c>
      <x:c r="B7" s="35" t="str">
        <x:v>2025-06-10</x:v>
      </x:c>
      <x:c r="C7" s="35" t="str">
        <x:v>Robot-dog R&amp;D is asking for digital-twin data and control interfaces</x:v>
      </x:c>
      <x:c r="D7" s="35" t="str">
        <x:v>A PLA tender sought two robot-dog platforms for at least 150 days and required full 3D part models mass-centre-of-mass and inertia data in URDF or SDF plus CAD/material data and a secondary-development interface for net-capture launching and communications-relay control</x:v>
      </x:c>
      <x:c r="E7" s="35" t="str">
        <x:v>This is evidence of a research/test integration demand for an open and model-rich quadruped platform rather than a simple off-the-shelf patrol robot</x:v>
      </x:c>
      <x:c r="F7" s="35" t="str">
        <x:v>It does not name a supplier or show a purchase fielding deployment or operational use</x:v>
      </x:c>
      <x:c r="G7" s="35" t="str">
        <x:v>High</x:v>
      </x:c>
      <x:c r="H7" s="35" t="str">
        <x:v>Trend card: supervised embodied-robot experimentation; keep separate from completed procurements</x:v>
      </x:c>
      <x:c r="I7" s="35" t="str">
        <x:v>Military Procurement Network tender</x:v>
      </x:c>
      <x:c r="J7" s="35" t="str">
        <x:v>https://www.plap.mil.cn/freecms/site/juncai/ggxx/info/2025/8a1d01cb96b9416a01975252956a0bf1.html</x:v>
      </x:c>
    </x:row>
    <x:row r="8" ht="86" customHeight="1">
      <x:c r="A8" s="35" t="str">
        <x:v>DRA-SIG-002</x:v>
      </x:c>
      <x:c r="B8" s="35" t="str">
        <x:v>2025-05-09</x:v>
      </x:c>
      <x:c r="C8" s="35" t="str">
        <x:v>PLA procurement intention exposes a commercial FPV component stack</x:v>
      </x:c>
      <x:c r="D8" s="35" t="str">
        <x:v>A PLA procurement-intent notice names and quantifies individual FPV items including a RUSHFPV STM32F722 flight controller BLHeli ESC TBS UNIFY video transmitter Foxeer camera RadioMaster RP1/2 ELRS receiver and Tattu R-Line battery</x:v>
      </x:c>
      <x:c r="E8" s="35" t="str">
        <x:v>The source is a strong public indicator of interest in an interoperable low-cost FPV stack and useful for a component/dependency map</x:v>
      </x:c>
      <x:c r="F8" s="35" t="str">
        <x:v>It is an intention not an award; it does not show that every named brand was bought deployed at scale or indispensable to a military supply chain</x:v>
      </x:c>
      <x:c r="G8" s="35" t="str">
        <x:v>High</x:v>
      </x:c>
      <x:c r="H8" s="35" t="str">
        <x:v>Add as a demand and foreign-origin/component-topology signal with non-award status</x:v>
      </x:c>
      <x:c r="I8" s="35" t="str">
        <x:v>Military Procurement Network procurement intention</x:v>
      </x:c>
      <x:c r="J8" s="35" t="str">
        <x:v>https://www.plap.mil.cn/freecms/site/juncai/ggxx/info/2025/8a1d013295320c440196b25961d76c1d.html</x:v>
      </x:c>
    </x:row>
    <x:row r="9" ht="86" customHeight="1">
      <x:c r="A9" s="35" t="str">
        <x:v>DRA-SIG-003</x:v>
      </x:c>
      <x:c r="B9" s="35" t="str">
        <x:v>2024-10-25</x:v>
      </x:c>
      <x:c r="C9" s="35" t="str">
        <x:v>C-UAS performance evidence is broad not concentrated</x:v>
      </x:c>
      <x:c r="D9" s="35" t="str">
        <x:v>China Security Association and public-security partners report 26 firms in a three-batch 15-day portable C-UAS comparison and list 21 as excellent performers</x:v>
      </x:c>
      <x:c r="E9" s="35" t="str">
        <x:v>The portable-C-UAS vendor layer appears competitively broad; a single test certificate should usually increase capability confidence more than criticality</x:v>
      </x:c>
      <x:c r="F9" s="35" t="str">
        <x:v>It does not measure market share production scale military acceptance or comparative rank within the 21</x:v>
      </x:c>
      <x:c r="G9" s="35" t="str">
        <x:v>Medium-High</x:v>
      </x:c>
      <x:c r="H9" s="35" t="str">
        <x:v>Use as a concentration/substitutability control in C-UAS scorecards</x:v>
      </x:c>
      <x:c r="I9" s="35" t="str">
        <x:v>China Security Association multi-agency comparative-test report</x:v>
      </x:c>
      <x:c r="J9" s="35" t="str">
        <x:v>https://news.21csp.com.cn/special/2024blh/202410/11425149.html</x:v>
      </x:c>
    </x:row>
    <x:row r="12" ht="34" customHeight="1">
      <x:c r="A12" s="25" t="str">
        <x:v>Highest-value scorecard closure tasks</x:v>
      </x:c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52" customHeight="1">
      <x:c r="A13" s="37" t="str">
        <x:v>Delivery / acceptance</x:v>
      </x:c>
      <x:c r="B13" s="38" t="str">
        <x:v>Find delivery, acceptance, and sustainment evidence for high-scoring components; batch-production text alone is not fielding.</x:v>
      </x:c>
      <x:c r="C13" s="38" t="str">
        <x:v>Upgrade U4/U5 only with a dated primary record.</x:v>
      </x:c>
      <x:c r="D13" s="39" t="str">
        <x:v>Issuer filings; awards; acceptance notices</x:v>
      </x:c>
    </x:row>
    <x:row r="14" ht="52" customHeight="1">
      <x:c r="A14" s="40" t="str">
        <x:v>C-UAS procurement state</x:v>
      </x:c>
      <x:c r="B14" s="35" t="str">
        <x:v>Resolve full-page final award wording and dates for PLA C-UAS result notices.</x:v>
      </x:c>
      <x:c r="C14" s="35" t="str">
        <x:v>Promote only a named final award; otherwise retain provisional state.</x:v>
      </x:c>
      <x:c r="D14" s="41" t="str">
        <x:v>PLA Military Procurement Network</x:v>
      </x:c>
    </x:row>
    <x:row r="15" ht="52" customHeight="1">
      <x:c r="A15" s="40" t="str">
        <x:v>Substitution / fragility</x:v>
      </x:c>
      <x:c r="B15" s="35" t="str">
        <x:v>Seek dual-source disclosure, named qualification barriers, or requalification time/cost evidence.</x:v>
      </x:c>
      <x:c r="C15" s="35" t="str">
        <x:v>Add fragility score only after a direct cited statement.</x:v>
      </x:c>
      <x:c r="D15" s="41" t="str">
        <x:v>Issuer risk disclosures; standards; qualification notices</x:v>
      </x:c>
    </x:row>
    <x:row r="16" ht="52" customHeight="1">
      <x:c r="A16" s="40" t="str">
        <x:v>Private robotics identity</x:v>
      </x:c>
      <x:c r="B16" s="35" t="str">
        <x:v>Resolve USCC, corporate parent, manufacturing site, and installed-base evidence for new firms.</x:v>
      </x:c>
      <x:c r="C16" s="35" t="str">
        <x:v>Replace exact-name staging with verified legal/ownership record.</x:v>
      </x:c>
      <x:c r="D16" s="41" t="str">
        <x:v>Company registry; customer awards; government filings</x:v>
      </x:c>
    </x:row>
    <x:row r="17" ht="52" customHeight="1">
      <x:c r="A17" s="42" t="str">
        <x:v>Foreign dependency currentness</x:v>
      </x:c>
      <x:c r="B17" s="43" t="str">
        <x:v>Find post-2024 evidence of use, service, or substitution at named Chinese facilities.</x:v>
      </x:c>
      <x:c r="C17" s="43" t="str">
        <x:v>Separate legacy tooling from active access or military-program dependence.</x:v>
      </x:c>
      <x:c r="D17" s="44" t="str">
        <x:v>Regulatory filings; export-control orders; service records</x:v>
      </x:c>
    </x:row>
  </x:sheetData>
  <x:mergeCells>
    <x:mergeCell ref="A1:K1"/>
    <x:mergeCell ref="A2:K2"/>
    <x:mergeCell ref="A12:J12"/>
  </x:mergeCells>
  <x:pageMargins left="0.7" right="0.7" top="0.75" bottom="0.75" header="0.3" footer="0.3"/>
  <x:tableParts count="1">
    <x:tablePart xmlns:r="http://schemas.openxmlformats.org/officeDocument/2006/relationships" r:id="Rd8f994a8f01446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62" hidden="0" customWidth="1"/>
    <x:col min="4" max="4" width="14" hidden="0" customWidth="1"/>
    <x:col min="5" max="5" width="18" hidden="0" customWidth="1"/>
    <x:col min="6" max="6" width="20" hidden="0" customWidth="1"/>
    <x:col min="7" max="7" width="28" hidden="0" customWidth="1"/>
    <x:col min="8" max="8" width="44" hidden="0" customWidth="1"/>
  </x:cols>
  <x:sheetData>
    <x:row r="1" ht="32" customHeight="1">
      <x:c r="A1" s="3" t="str">
        <x:v>Scoring method and audit gates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Inputs are transparent. The v1.2 initial rankings use the displayed weights; scenario columns in Scorecard Ranking allow sensitivity checks but do not silently re-sort the frozen research triage order.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6" t="str">
        <x:v>Systemic-importance weight</x:v>
      </x:c>
      <x:c r="B4" s="49" t="str">
        <x:v>Value</x:v>
      </x:c>
      <x:c r="C4" s="17" t="str">
        <x:v>Interpretation</x:v>
      </x:c>
      <x:c r="E4" s="59" t="str">
        <x:v>Evidence factor</x:v>
      </x:c>
      <x:c r="F4" s="60" t="str">
        <x:v>Lower-bound multiplier</x:v>
      </x:c>
      <x:c r="G4" s="60" t="str">
        <x:v>Rank treatment</x:v>
      </x:c>
      <x:c r="H4" s="61" t="str">
        <x:v>Hard boundary</x:v>
      </x:c>
    </x:row>
    <x:row r="5">
      <x:c r="A5" s="50" t="str">
        <x:v>Criticality</x:v>
      </x:c>
      <x:c r="B5" s="47" t="n">
        <x:v>0.45</x:v>
      </x:c>
      <x:c r="C5" s="51" t="str">
        <x:v>Mission/design bottleneck evidence; C4 requires explicit sole/limited-source or requalification support.</x:v>
      </x:c>
      <x:c r="E5" s="40" t="str">
        <x:v>E1</x:v>
      </x:c>
      <x:c r="F5" s="58" t="n">
        <x:v>0.5</x:v>
      </x:c>
      <x:c r="G5" s="35" t="str">
        <x:v>Watch / discovery only</x:v>
      </x:c>
      <x:c r="H5" s="41" t="str">
        <x:v>Lead or weak context cannot rank.</x:v>
      </x:c>
    </x:row>
    <x:row r="6">
      <x:c r="A6" s="50" t="str">
        <x:v>Production maturity</x:v>
      </x:c>
      <x:c r="B6" s="47" t="n">
        <x:v>0.2</x:v>
      </x:c>
      <x:c r="C6" s="51" t="str">
        <x:v>U0–U5 lifecycle label; U5 requires fielding/sustainment, not merely award or batch production.</x:v>
      </x:c>
      <x:c r="E6" s="40" t="str">
        <x:v>E2</x:v>
      </x:c>
      <x:c r="F6" s="58" t="n">
        <x:v>0.7</x:v>
      </x:c>
      <x:c r="G6" s="35" t="str">
        <x:v>Provisional / bounded</x:v>
      </x:c>
      <x:c r="H6" s="41" t="str">
        <x:v>Single source or attributed capability; no verified rank.</x:v>
      </x:c>
    </x:row>
    <x:row r="7">
      <x:c r="A7" s="50" t="str">
        <x:v>Cross-domain leverage</x:v>
      </x:c>
      <x:c r="B7" s="47" t="n">
        <x:v>0.2</x:v>
      </x:c>
      <x:c r="C7" s="51" t="str">
        <x:v>Same capability across documented scope clusters; broad parent/module affiliation is insufficient.</x:v>
      </x:c>
      <x:c r="E7" s="40" t="str">
        <x:v>E3</x:v>
      </x:c>
      <x:c r="F7" s="58" t="n">
        <x:v>0.85</x:v>
      </x:c>
      <x:c r="G7" s="35" t="str">
        <x:v>Evidence-qualified</x:v>
      </x:c>
      <x:c r="H7" s="41" t="str">
        <x:v>Repeated direct evidence / corroboration, with entity resolution.</x:v>
      </x:c>
    </x:row>
    <x:row r="8">
      <x:c r="A8" s="50" t="str">
        <x:v>Technical frontier</x:v>
      </x:c>
      <x:c r="B8" s="47" t="n">
        <x:v>0.15</x:v>
      </x:c>
      <x:c r="C8" s="51" t="str">
        <x:v>Demonstrated technical differentiation, validation, or observable performance evidence.</x:v>
      </x:c>
      <x:c r="E8" s="42" t="str">
        <x:v>E4</x:v>
      </x:c>
      <x:c r="F8" s="62" t="n">
        <x:v>1</x:v>
      </x:c>
      <x:c r="G8" s="43" t="str">
        <x:v>Evidence-qualified</x:v>
      </x:c>
      <x:c r="H8" s="44" t="str">
        <x:v>Lifecycle evidence or independently corroborated direct source chain.</x:v>
      </x:c>
    </x:row>
    <x:row r="9">
      <x:c r="A9" s="52" t="str">
        <x:v>Weight check</x:v>
      </x:c>
      <x:c r="B9" s="53" t="n">
        <x:f>SUM(B5:B8)</x:f>
        <x:v>1</x:v>
      </x:c>
      <x:c r="C9" s="54" t="str">
        <x:v>Must equal 100%.</x:v>
      </x:c>
    </x:row>
    <x:row r="12" ht="34" customHeight="1">
      <x:c r="A12" s="16" t="str">
        <x:v>Audit rule</x:v>
      </x:c>
      <x:c r="B12" s="49" t="str">
        <x:v>Pass condition</x:v>
      </x:c>
      <x:c r="C12" s="49" t="str">
        <x:v>Why the rule exists</x:v>
      </x:c>
      <x:c r="D12" s="17" t="str">
        <x:v>Status</x:v>
      </x:c>
      <x:c r="E12" s="11" t="str"/>
      <x:c r="F12" s="11" t="str"/>
      <x:c r="G12" s="11" t="str"/>
      <x:c r="H12" s="11" t="str"/>
    </x:row>
    <x:row r="13" ht="48" customHeight="1">
      <x:c r="A13" s="40" t="str">
        <x:v>Criticality-4 gate</x:v>
      </x:c>
      <x:c r="B13" s="35" t="str">
        <x:v>Explicit limited/sole-source or requalification language</x:v>
      </x:c>
      <x:c r="C13" s="35" t="str">
        <x:v>Avoids turning technical importance into a monopoly claim.</x:v>
      </x:c>
      <x:c r="D13" s="41" t="str">
        <x:v>PASS</x:v>
      </x:c>
    </x:row>
    <x:row r="14" ht="48" customHeight="1">
      <x:c r="A14" s="40" t="str">
        <x:v>Maturity gate</x:v>
      </x:c>
      <x:c r="B14" s="35" t="str">
        <x:v>U3+ has qualification, batch, delivery, production, or fielding language</x:v>
      </x:c>
      <x:c r="C14" s="35" t="str">
        <x:v>Award / R&amp;D / demonstration are not delivery.</x:v>
      </x:c>
      <x:c r="D14" s="41" t="str">
        <x:v>PASS</x:v>
      </x:c>
    </x:row>
    <x:row r="15" ht="48" customHeight="1">
      <x:c r="A15" s="40" t="str">
        <x:v>Ranking gate</x:v>
      </x:c>
      <x:c r="B15" s="35" t="str">
        <x:v>Pre-award and product-marketing entries cannot rank</x:v>
      </x:c>
      <x:c r="C15" s="35" t="str">
        <x:v>Prevents candidate suppliers from appearing as completed suppliers.</x:v>
      </x:c>
      <x:c r="D15" s="41" t="str">
        <x:v>PASS</x:v>
      </x:c>
    </x:row>
    <x:row r="16" ht="48" customHeight="1">
      <x:c r="A16" s="40" t="str">
        <x:v>Cross-domain gate</x:v>
      </x:c>
      <x:c r="B16" s="35" t="str">
        <x:v>Credit comes from source text, not just Atlas tags</x:v>
      </x:c>
      <x:c r="C16" s="35" t="str">
        <x:v>Prevents parent or shared module labels from inflating leverage.</x:v>
      </x:c>
      <x:c r="D16" s="41" t="str">
        <x:v>PASS</x:v>
      </x:c>
    </x:row>
    <x:row r="17" ht="48" customHeight="1">
      <x:c r="A17" s="42" t="str">
        <x:v>Fragility gate</x:v>
      </x:c>
      <x:c r="B17" s="43" t="str">
        <x:v>Blank unless direct source supports a barrier or dependency</x:v>
      </x:c>
      <x:c r="C17" s="43" t="str">
        <x:v>Unknown is not low vulnerability.</x:v>
      </x:c>
      <x:c r="D17" s="44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34" hidden="0" customWidth="1"/>
    <x:col min="4" max="4" width="8" hidden="0" customWidth="1"/>
    <x:col min="5" max="5" width="14" hidden="0" customWidth="1"/>
    <x:col min="6" max="6" width="72" hidden="0" customWidth="1"/>
  </x:cols>
  <x:sheetData>
    <x:row r="1" ht="32" customHeight="1">
      <x:c r="A1" s="3" t="str">
        <x:v>v1.2 source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8" customHeight="1">
      <x:c r="A2" s="7" t="str">
        <x:v>The source registry is a bibliographic index, not a confidence shortcut. Every source should be read with the linked claim’s temporal and scope limit.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1" t="str">
        <x:v>Use</x:v>
      </x:c>
      <x:c r="B4" s="11" t="str">
        <x:v>Title</x:v>
      </x:c>
      <x:c r="C4" s="11" t="str">
        <x:v>Source type</x:v>
      </x:c>
      <x:c r="D4" s="11" t="str">
        <x:v>Tier</x:v>
      </x:c>
      <x:c r="E4" s="11" t="str">
        <x:v>Source date</x:v>
      </x:c>
      <x:c r="F4" s="11" t="str">
        <x:v>URL</x:v>
      </x:c>
    </x:row>
    <x:row r="5" ht="54" customHeight="1">
      <x:c r="A5" s="35" t="str">
        <x:v>Dependency correction</x:v>
      </x:c>
      <x:c r="B5" s="35" t="str">
        <x:v>Shanghai Waigaoqiao Shipbuilding final award for digital small-parts grinding robot workstation</x:v>
      </x:c>
      <x:c r="C5" s="35" t="str">
        <x:v>CSSC final-award correction</x:v>
      </x:c>
      <x:c r="D5" s="35" t="str">
        <x:v>A</x:v>
      </x:c>
      <x:c r="E5" s="35" t="str">
        <x:v>2025-08-25</x:v>
      </x:c>
      <x:c r="F5" s="35" t="str">
        <x:v>https://csscbidding.com/jyxx/003001/003001004/20250825/5a186f89-8939-4634-9bdc-bb09d21cbcbb.html</x:v>
      </x:c>
    </x:row>
    <x:row r="6" ht="54" customHeight="1">
      <x:c r="A6" s="35" t="str">
        <x:v>Foreign dependency</x:v>
      </x:c>
      <x:c r="B6" s="35" t="str">
        <x:v>BIS final order concerning Applied Materials, Inc.</x:v>
      </x:c>
      <x:c r="C6" s="35" t="str">
        <x:v>Official export-control/order</x:v>
      </x:c>
      <x:c r="D6" s="35" t="str">
        <x:v>A</x:v>
      </x:c>
      <x:c r="E6" s="35" t="str">
        <x:v>2026-02-12</x:v>
      </x:c>
      <x:c r="F6" s="35" t="str">
        <x:v>https://www.bis.gov/media/2587</x:v>
      </x:c>
    </x:row>
    <x:row r="7" ht="54" customHeight="1">
      <x:c r="A7" s="35" t="str">
        <x:v>Foreign dependency</x:v>
      </x:c>
      <x:c r="B7" s="35" t="str">
        <x:v>BIS final settlement/order concerning Coastal PVA Technology</x:v>
      </x:c>
      <x:c r="C7" s="35" t="str">
        <x:v>Official export-control/order</x:v>
      </x:c>
      <x:c r="D7" s="35" t="str">
        <x:v>A</x:v>
      </x:c>
      <x:c r="E7" s="35" t="str">
        <x:v>2026-04-13</x:v>
      </x:c>
      <x:c r="F7" s="35" t="str">
        <x:v>https://www.bis.gov/media/documents/coastal-pva-technology-inc-4-13-2026-rev.pdf</x:v>
      </x:c>
    </x:row>
    <x:row r="8" ht="54" customHeight="1">
      <x:c r="A8" s="35" t="str">
        <x:v>Foreign dependency</x:v>
      </x:c>
      <x:c r="B8" s="35" t="str">
        <x:v>BIS release concerning Haas Automation</x:v>
      </x:c>
      <x:c r="C8" s="35" t="str">
        <x:v>Official export-control/order</x:v>
      </x:c>
      <x:c r="D8" s="35" t="str">
        <x:v>A</x:v>
      </x:c>
      <x:c r="E8" s="35" t="str">
        <x:v>2025-01-17</x:v>
      </x:c>
      <x:c r="F8" s="35" t="str">
        <x:v>https://www.bis.gov/press-release/haas-automation-pay-over-2.5-million-combined-civil-penalties-bis-ofac-prohibited-transactions-including</x:v>
      </x:c>
    </x:row>
    <x:row r="9" ht="54" customHeight="1">
      <x:c r="A9" s="35" t="str">
        <x:v>Foreign dependency</x:v>
      </x:c>
      <x:c r="B9" s="35" t="str">
        <x:v>BIS settlement / proposed charging letter concerning TE Connectivity</x:v>
      </x:c>
      <x:c r="C9" s="35" t="str">
        <x:v>Official export-control/order</x:v>
      </x:c>
      <x:c r="D9" s="35" t="str">
        <x:v>A</x:v>
      </x:c>
      <x:c r="E9" s="35" t="str">
        <x:v>2024-08-15</x:v>
      </x:c>
      <x:c r="F9" s="35" t="str">
        <x:v>https://www.bis.gov/media/918</x:v>
      </x:c>
    </x:row>
    <x:row r="10" ht="54" customHeight="1">
      <x:c r="A10" s="35" t="str">
        <x:v>Foreign dependency</x:v>
      </x:c>
      <x:c r="B10" s="35" t="str">
        <x:v>BIS settlement concerning GlobalFoundries exports to SJ Semiconductor</x:v>
      </x:c>
      <x:c r="C10" s="35" t="str">
        <x:v>Official export-control/order</x:v>
      </x:c>
      <x:c r="D10" s="35" t="str">
        <x:v>A</x:v>
      </x:c>
      <x:c r="E10" s="35" t="str">
        <x:v>2024-11-01</x:v>
      </x:c>
      <x:c r="F10" s="35" t="str">
        <x:v>https://www.bis.gov/media/1335</x:v>
      </x:c>
    </x:row>
    <x:row r="11" ht="54" customHeight="1">
      <x:c r="A11" s="35" t="str">
        <x:v>Foreign dependency</x:v>
      </x:c>
      <x:c r="B11" s="35" t="str">
        <x:v>Nanjing Gaohua Technology 2025 annual-report summary</x:v>
      </x:c>
      <x:c r="C11" s="35" t="str">
        <x:v>Official export-control/order</x:v>
      </x:c>
      <x:c r="D11" s="35" t="str">
        <x:v>A</x:v>
      </x:c>
      <x:c r="E11" s="35" t="str">
        <x:v>2026-04-25</x:v>
      </x:c>
      <x:c r="F11" s="35" t="str">
        <x:v>https://static.cninfo.com.cn/finalpage/2026/20260425/1225182440.PDF</x:v>
      </x:c>
    </x:row>
    <x:row r="12" ht="54" customHeight="1">
      <x:c r="A12" s="35" t="str">
        <x:v>Foreign dependency</x:v>
      </x:c>
      <x:c r="B12" s="35" t="str">
        <x:v>PLA FPV/UAV procurement-intent notice 2025-JLDZQU-W1006</x:v>
      </x:c>
      <x:c r="C12" s="35" t="str">
        <x:v>Official export-control/order</x:v>
      </x:c>
      <x:c r="D12" s="35" t="str">
        <x:v>A</x:v>
      </x:c>
      <x:c r="E12" s="35" t="str">
        <x:v>2025-05-09</x:v>
      </x:c>
      <x:c r="F12" s="35" t="str">
        <x:v>https://www.plap.mil.cn/freecms/site/juncai/ggxx/info/2025/8a1d013295320c440196b25961d76c1d.html</x:v>
      </x:c>
    </x:row>
    <x:row r="13" ht="54" customHeight="1">
      <x:c r="A13" s="35" t="str">
        <x:v>Foreign dependency</x:v>
      </x:c>
      <x:c r="B13" s="35" t="str">
        <x:v>SSE inquiry-response disclosure by Suzhou Hualin Micro-Nano Technology</x:v>
      </x:c>
      <x:c r="C13" s="35" t="str">
        <x:v>Official export-control/order</x:v>
      </x:c>
      <x:c r="D13" s="35" t="str">
        <x:v>A</x:v>
      </x:c>
      <x:c r="E13" s="35" t="str">
        <x:v>2026-05-29</x:v>
      </x:c>
      <x:c r="F13" s="35" t="str">
        <x:v>https://dataclouds.cninfo.com.cn/shgonggao/hsomarket/2026/20260529/66133a73679c42f3a761a8faf5acab2c.PDF</x:v>
      </x:c>
    </x:row>
    <x:row r="14" ht="54" customHeight="1">
      <x:c r="A14" s="35" t="str">
        <x:v>Signal</x:v>
      </x:c>
      <x:c r="B14" s="35" t="str">
        <x:v>C-UAS performance evidence is broad not concentrated</x:v>
      </x:c>
      <x:c r="C14" s="35" t="str">
        <x:v>China Security Association multi-agency comparative-test report</x:v>
      </x:c>
      <x:c r="D14" s="35" t="str">
        <x:v>A</x:v>
      </x:c>
      <x:c r="E14" s="35" t="str">
        <x:v>2024-10-25</x:v>
      </x:c>
      <x:c r="F14" s="35" t="str">
        <x:v>https://news.21csp.com.cn/special/2024blh/202410/11425149.html</x:v>
      </x:c>
    </x:row>
    <x:row r="15" ht="54" customHeight="1">
      <x:c r="A15" s="35" t="str">
        <x:v>Signal</x:v>
      </x:c>
      <x:c r="B15" s="35" t="str">
        <x:v>Fibre-optic UAS and open-source flight control entered an explicit procurement title</x:v>
      </x:c>
      <x:c r="C15" s="35" t="str">
        <x:v>Military Procurement Network result notice</x:v>
      </x:c>
      <x:c r="D15" s="35" t="str">
        <x:v>A</x:v>
      </x:c>
      <x:c r="E15" s="35" t="str">
        <x:v>2025-12-16</x:v>
      </x:c>
      <x:c r="F15" s="35" t="str">
        <x:v>https://www.plap.mil.cn/freecms/site/juncai/ggxx/info/2025/8a1d04049afc00a8019b2154b45f4a58.html?noticeType=001024</x:v>
      </x:c>
    </x:row>
    <x:row r="16" ht="54" customHeight="1">
      <x:c r="A16" s="35" t="str">
        <x:v>Signal</x:v>
      </x:c>
      <x:c r="B16" s="35" t="str">
        <x:v>PLA procurement intention exposes a commercial FPV component stack</x:v>
      </x:c>
      <x:c r="C16" s="35" t="str">
        <x:v>Military Procurement Network procurement intention</x:v>
      </x:c>
      <x:c r="D16" s="35" t="str">
        <x:v>A</x:v>
      </x:c>
      <x:c r="E16" s="35" t="str">
        <x:v>2025-05-09</x:v>
      </x:c>
      <x:c r="F16" s="35" t="str">
        <x:v>https://www.plap.mil.cn/freecms/site/juncai/ggxx/info/2025/8a1d013295320c440196b25961d76c1d.html</x:v>
      </x:c>
    </x:row>
    <x:row r="17" ht="54" customHeight="1">
      <x:c r="A17" s="35" t="str">
        <x:v>Signal</x:v>
      </x:c>
      <x:c r="B17" s="35" t="str">
        <x:v>Robot-dog R&amp;D is asking for digital-twin data and control interfaces</x:v>
      </x:c>
      <x:c r="C17" s="35" t="str">
        <x:v>Military Procurement Network tender</x:v>
      </x:c>
      <x:c r="D17" s="35" t="str">
        <x:v>A</x:v>
      </x:c>
      <x:c r="E17" s="35" t="str">
        <x:v>2025-06-10</x:v>
      </x:c>
      <x:c r="F17" s="35" t="str">
        <x:v>https://www.plap.mil.cn/freecms/site/juncai/ggxx/info/2025/8a1d01cb96b9416a01975252956a0bf1.html</x:v>
      </x:c>
    </x:row>
    <x:row r="18" ht="54" customHeight="1">
      <x:c r="A18" s="35" t="str">
        <x:v>Signal</x:v>
      </x:c>
      <x:c r="B18" s="35" t="str">
        <x:v>Robotic finishing is a concrete shipyard production layer</x:v>
      </x:c>
      <x:c r="C18" s="35" t="str">
        <x:v>CSSC final result notices</x:v>
      </x:c>
      <x:c r="D18" s="35" t="str">
        <x:v>A</x:v>
      </x:c>
      <x:c r="E18" s="35" t="str">
        <x:v>2025-08-25</x:v>
      </x:c>
      <x:c r="F18" s="35" t="str">
        <x:v>https://csscbidding.com/jyxx/003001/003001004/20250825/5a186f89-8939-4634-9bdc-bb09d21cbcbb.html ; https://csscbidding.com/jyxx/003001/003001004/20250825/fc564718-4800-43a3-b82a-02c5058139fe.html</x:v>
      </x:c>
    </x:row>
    <x:row r="19" ht="54" customHeight="1">
      <x:c r="A19" s="35" t="str">
        <x:v>Supplier scorecard</x:v>
      </x:c>
      <x:c r="B19" s="35" t="str">
        <x:v>Beijing Bohong Keyuan corporate homepage</x:v>
      </x:c>
      <x:c r="C19" s="35" t="str">
        <x:v>Official company website</x:v>
      </x:c>
      <x:c r="D19" s="35" t="str">
        <x:v>B</x:v>
      </x:c>
      <x:c r="E19" s="35" t="str">
        <x:v>undated (site retrieved 2026-08-31)</x:v>
      </x:c>
      <x:c r="F19" s="35" t="str">
        <x:v>https://www.bhky.net.cn/</x:v>
      </x:c>
    </x:row>
    <x:row r="20" ht="54" customHeight="1">
      <x:c r="A20" s="35" t="str">
        <x:v>Supplier scorecard</x:v>
      </x:c>
      <x:c r="B20" s="35" t="str">
        <x:v>Beijing Zhuoyi Intelligent corporate homepage</x:v>
      </x:c>
      <x:c r="C20" s="35" t="str">
        <x:v>Official company website</x:v>
      </x:c>
      <x:c r="D20" s="35" t="str">
        <x:v>B</x:v>
      </x:c>
      <x:c r="E20" s="35" t="str">
        <x:v>undated (site retrieved 2026-08-31)</x:v>
      </x:c>
      <x:c r="F20" s="35" t="str">
        <x:v>https://www.droneyee.com/</x:v>
      </x:c>
    </x:row>
    <x:row r="21" ht="54" customHeight="1">
      <x:c r="A21" s="35" t="str">
        <x:v>Supplier scorecard</x:v>
      </x:c>
      <x:c r="B21" s="35" t="str">
        <x:v>C-UAS equipment procurement result notice</x:v>
      </x:c>
      <x:c r="C21" s="35" t="str">
        <x:v>Military Procurement Network result notice</x:v>
      </x:c>
      <x:c r="D21" s="35" t="str">
        <x:v>A</x:v>
      </x:c>
      <x:c r="E21" s="35" t="str">
        <x:v>2024-08-30</x:v>
      </x:c>
      <x:c r="F21" s="35" t="str">
        <x:v>https://www.plap.mil.cn/freecms/site/juncai/ggxx/info/2024/8a1d01109163a9d001919d4348c336b8.html</x:v>
      </x:c>
    </x:row>
    <x:row r="22" ht="54" customHeight="1">
      <x:c r="A22" s="35" t="str">
        <x:v>Supplier scorecard</x:v>
      </x:c>
      <x:c r="B22" s="35" t="str">
        <x:v>Chengdu Mengsheng Electronic Technology 2025 annual-report summary</x:v>
      </x:c>
      <x:c r="C22" s="35" t="str">
        <x:v>issuer annual-report summary</x:v>
      </x:c>
      <x:c r="D22" s="35" t="str">
        <x:v>A</x:v>
      </x:c>
      <x:c r="E22" s="35" t="str">
        <x:v>2026-04-21</x:v>
      </x:c>
      <x:c r="F22" s="35" t="str">
        <x:v>https://dataclouds.cninfo.com.cn/shgonggao/hsomarket/2026/20260421/25c6b2d9722b4c1990648cda477bc885.PDF</x:v>
      </x:c>
    </x:row>
    <x:row r="23" ht="54" customHeight="1">
      <x:c r="A23" s="35" t="str">
        <x:v>Supplier scorecard</x:v>
      </x:c>
      <x:c r="B23" s="35" t="str">
        <x:v>China Aerospace Times Electronics 2025 annual report</x:v>
      </x:c>
      <x:c r="C23" s="35" t="str">
        <x:v>issuer annual report</x:v>
      </x:c>
      <x:c r="D23" s="35" t="str">
        <x:v>A</x:v>
      </x:c>
      <x:c r="E23" s="35" t="str">
        <x:v>2026-03-26</x:v>
      </x:c>
      <x:c r="F23" s="35" t="str">
        <x:v>https://dataclouds.cninfo.com.cn/shgonggao/hsomarket/2026/20260327/01fc31123b944c3396c26972e042ab76.PDF</x:v>
      </x:c>
    </x:row>
    <x:row r="24" ht="54" customHeight="1">
      <x:c r="A24" s="35" t="str">
        <x:v>Supplier scorecard</x:v>
      </x:c>
      <x:c r="B24" s="35" t="str">
        <x:v>China Association for Science and Technology organizational profile for Guangdong Xirui</x:v>
      </x:c>
      <x:c r="C24" s="35" t="str">
        <x:v>Chinese Association for Science and Technology public organization profile</x:v>
      </x:c>
      <x:c r="D24" s="35" t="str">
        <x:v>B</x:v>
      </x:c>
      <x:c r="E24" s="35" t="str">
        <x:v>undated (page retrieved 2026-08-31)</x:v>
      </x:c>
      <x:c r="F24" s="35" t="str">
        <x:v>https://www.kczg.org.cn/org/orgdetail?id=356793</x:v>
      </x:c>
    </x:row>
    <x:row r="25" ht="54" customHeight="1">
      <x:c r="A25" s="35" t="str">
        <x:v>Supplier scorecard</x:v>
      </x:c>
      <x:c r="B25" s="35" t="str">
        <x:v>China Security Association Hunting Sky 2024 C-UAS field-test report</x:v>
      </x:c>
      <x:c r="C25" s="35" t="str">
        <x:v>China Security Association field-test notice</x:v>
      </x:c>
      <x:c r="D25" s="35" t="str">
        <x:v>B</x:v>
      </x:c>
      <x:c r="E25" s="35" t="str">
        <x:v>2024-10-25</x:v>
      </x:c>
      <x:c r="F25" s="35" t="str">
        <x:v>https://news.21csp.com.cn/special/2024blh/202410/11425149.html</x:v>
      </x:c>
    </x:row>
    <x:row r="26" ht="54" customHeight="1">
      <x:c r="A26" s="35" t="str">
        <x:v>Supplier scorecard</x:v>
      </x:c>
      <x:c r="B26" s="35" t="str">
        <x:v>Fibre-optic UAV kits and open-source flight-controller procurement result</x:v>
      </x:c>
      <x:c r="C26" s="35" t="str">
        <x:v>Military Procurement Network result notice</x:v>
      </x:c>
      <x:c r="D26" s="35" t="str">
        <x:v>A</x:v>
      </x:c>
      <x:c r="E26" s="35" t="str">
        <x:v>2025-12-16</x:v>
      </x:c>
      <x:c r="F26" s="35" t="str">
        <x:v>https://www.plap.mil.cn/freecms/site/juncai/ggxx/info/2025/8a1d04049afc00a8019b2154b45f4a58.html?noticeType=001024</x:v>
      </x:c>
    </x:row>
    <x:row r="27" ht="54" customHeight="1">
      <x:c r="A27" s="35" t="str">
        <x:v>Supplier scorecard</x:v>
      </x:c>
      <x:c r="B27" s="35" t="str">
        <x:v>Fixed AI fully autonomous low-altitude countermeasure robot procurement result</x:v>
      </x:c>
      <x:c r="C27" s="35" t="str">
        <x:v>Military Procurement Network result notice</x:v>
      </x:c>
      <x:c r="D27" s="35" t="str">
        <x:v>A</x:v>
      </x:c>
      <x:c r="E27" s="35" t="str">
        <x:v>2026-02-12</x:v>
      </x:c>
      <x:c r="F27" s="35" t="str">
        <x:v>https://www.plap.mil.cn/freecms/site/juncai/ggxx/info/2026/8a1d002c9afc0109019c50c1650c0a41.html</x:v>
      </x:c>
    </x:row>
    <x:row r="28" ht="54" customHeight="1">
      <x:c r="A28" s="35" t="str">
        <x:v>Supplier scorecard</x:v>
      </x:c>
      <x:c r="B28" s="35" t="str">
        <x:v>Guangdong Nasis corporate homepage</x:v>
      </x:c>
      <x:c r="C28" s="35" t="str">
        <x:v>Official company website</x:v>
      </x:c>
      <x:c r="D28" s="35" t="str">
        <x:v>B</x:v>
      </x:c>
      <x:c r="E28" s="35" t="str">
        <x:v>undated (site retrieved 2026-08-31)</x:v>
      </x:c>
      <x:c r="F28" s="35" t="str">
        <x:v>https://www.donasas.com/</x:v>
      </x:c>
    </x:row>
    <x:row r="29" ht="54" customHeight="1">
      <x:c r="A29" s="35" t="str">
        <x:v>Supplier scorecard</x:v>
      </x:c>
      <x:c r="B29" s="35" t="str">
        <x:v>Hunan government feature on Chaoneng Robot</x:v>
      </x:c>
      <x:c r="C29" s="35" t="str">
        <x:v>Hunan provincial government news</x:v>
      </x:c>
      <x:c r="D29" s="35" t="str">
        <x:v>A</x:v>
      </x:c>
      <x:c r="E29" s="35" t="str">
        <x:v>2026-08-31</x:v>
      </x:c>
      <x:c r="F29" s="35" t="str">
        <x:v>https://www.hunan.gov.cn/hnszf/hnyw/sy/hnyw1/202608/t20260831_34052912.html</x:v>
      </x:c>
    </x:row>
    <x:row r="30" ht="54" customHeight="1">
      <x:c r="A30" s="35" t="str">
        <x:v>Supplier scorecard</x:v>
      </x:c>
      <x:c r="B30" s="35" t="str">
        <x:v>Intelligent robot-system R&amp;D and application-equipment result notice</x:v>
      </x:c>
      <x:c r="C30" s="35" t="str">
        <x:v>Military Procurement Network result notice</x:v>
      </x:c>
      <x:c r="D30" s="35" t="str">
        <x:v>A</x:v>
      </x:c>
      <x:c r="E30" s="35" t="str">
        <x:v>2026-05-19</x:v>
      </x:c>
      <x:c r="F30" s="35" t="str">
        <x:v>https://www.plap.mil.cn/freecms/site/juncai/ggxx/info/2026/8a1d02829e1f2e0a019e3f202afe5448.html</x:v>
      </x:c>
    </x:row>
    <x:row r="31" ht="54" customHeight="1">
      <x:c r="A31" s="35" t="str">
        <x:v>Supplier scorecard</x:v>
      </x:c>
      <x:c r="B31" s="35" t="str">
        <x:v>Nanjing Shanluan UAV countermeasure product page</x:v>
      </x:c>
      <x:c r="C31" s="35" t="str">
        <x:v>Official company product page</x:v>
      </x:c>
      <x:c r="D31" s="35" t="str">
        <x:v>B</x:v>
      </x:c>
      <x:c r="E31" s="35" t="str">
        <x:v>undated (site retrieved 2026-08-31)</x:v>
      </x:c>
      <x:c r="F31" s="35" t="str">
        <x:v>https://www.njslaq.com/tagdetail/1699655190063484928.html</x:v>
      </x:c>
    </x:row>
    <x:row r="32" ht="54" customHeight="1">
      <x:c r="A32" s="35" t="str">
        <x:v>Supplier scorecard</x:v>
      </x:c>
      <x:c r="B32" s="35" t="str">
        <x:v>Second C-UAS equipment procurement result notice</x:v>
      </x:c>
      <x:c r="C32" s="35" t="str">
        <x:v>Military Procurement Network result notice</x:v>
      </x:c>
      <x:c r="D32" s="35" t="str">
        <x:v>A</x:v>
      </x:c>
      <x:c r="E32" s="35" t="str">
        <x:v>2026-02-12</x:v>
      </x:c>
      <x:c r="F32" s="35" t="str">
        <x:v>https://www.plap.mil.cn/freecms/site/juncai/ggxx/info/2026/8a1d002c9afc0109019c4fbf41ba041a.html</x:v>
      </x:c>
    </x:row>
    <x:row r="33" ht="54" customHeight="1">
      <x:c r="A33" s="35" t="str">
        <x:v>Supplier scorecard</x:v>
      </x:c>
      <x:c r="B33" s="35" t="str">
        <x:v>Shaanxi government proposed sole-source procurement notice</x:v>
      </x:c>
      <x:c r="C33" s="35" t="str">
        <x:v>Shaanxi government procurement notice</x:v>
      </x:c>
      <x:c r="D33" s="35" t="str">
        <x:v>A</x:v>
      </x:c>
      <x:c r="E33" s="35" t="str">
        <x:v>2024-11-13</x:v>
      </x:c>
      <x:c r="F33" s="35" t="str">
        <x:v>https://www.ccgp-shaanxi.gov.cn/freecms/site/shaanxi/ggxx/info/2024/8a69c037932429a3019324ab328a32fe.html</x:v>
      </x:c>
    </x:row>
    <x:row r="34" ht="54" customHeight="1">
      <x:c r="A34" s="35" t="str">
        <x:v>Supplier scorecard</x:v>
      </x:c>
      <x:c r="B34" s="35" t="str">
        <x:v>Shanghai Hollywave Electronic System Technology 2025 annual report</x:v>
      </x:c>
      <x:c r="C34" s="35" t="str">
        <x:v>issuer annual report</x:v>
      </x:c>
      <x:c r="D34" s="35" t="str">
        <x:v>A</x:v>
      </x:c>
      <x:c r="E34" s="35" t="str">
        <x:v>2026-04-14</x:v>
      </x:c>
      <x:c r="F34" s="35" t="str">
        <x:v>https://dataclouds.cninfo.com.cn/shgonggao/hsomarket/2026/20260414/5bd24d0a9a3c41f5800a8230136d400a.PDF</x:v>
      </x:c>
    </x:row>
    <x:row r="35" ht="54" customHeight="1">
      <x:c r="A35" s="35" t="str">
        <x:v>Supplier scorecard</x:v>
      </x:c>
      <x:c r="B35" s="35" t="str">
        <x:v>Shanghai Waigaoqiao Shipbuilding digital small-parts grinding robot workstation result</x:v>
      </x:c>
      <x:c r="C35" s="35" t="str">
        <x:v>Official SOE tender result</x:v>
      </x:c>
      <x:c r="D35" s="35" t="str">
        <x:v>A</x:v>
      </x:c>
      <x:c r="E35" s="35" t="str">
        <x:v>2025-08-25</x:v>
      </x:c>
      <x:c r="F35" s="35" t="str">
        <x:v>https://csscbidding.com/jyxx/003001/003001004/20250825/5a186f89-8939-4634-9bdc-bb09d21cbcbb.html</x:v>
      </x:c>
    </x:row>
    <x:row r="36" ht="54" customHeight="1">
      <x:c r="A36" s="35" t="str">
        <x:v>Supplier scorecard</x:v>
      </x:c>
      <x:c r="B36" s="35" t="str">
        <x:v>Shanghai Waigaoqiao Shipbuilding digital very-small-parts grinding robot workstation result</x:v>
      </x:c>
      <x:c r="C36" s="35" t="str">
        <x:v>Official SOE tender result</x:v>
      </x:c>
      <x:c r="D36" s="35" t="str">
        <x:v>A</x:v>
      </x:c>
      <x:c r="E36" s="35" t="str">
        <x:v>2025-08-25</x:v>
      </x:c>
      <x:c r="F36" s="35" t="str">
        <x:v>https://csscbidding.com/jyxx/003001/003001004/20250825/fc564718-4800-43a3-b82a-02c5058139fe.html</x:v>
      </x:c>
    </x:row>
    <x:row r="37" ht="54" customHeight="1">
      <x:c r="A37" s="35" t="str">
        <x:v>Supplier scorecard</x:v>
      </x:c>
      <x:c r="B37" s="35" t="str">
        <x:v>SMEC 2025 annual report</x:v>
      </x:c>
      <x:c r="C37" s="35" t="str">
        <x:v>issuer annual report</x:v>
      </x:c>
      <x:c r="D37" s="35" t="str">
        <x:v>A</x:v>
      </x:c>
      <x:c r="E37" s="35" t="str">
        <x:v>2026-04-17</x:v>
      </x:c>
      <x:c r="F37" s="35" t="str">
        <x:v>https://dataclouds.cninfo.com.cn/shgonggao/hsomarket/2026/20260420/a7d644d0f0dd41678d6544801932ceac.PDF</x:v>
      </x:c>
    </x:row>
    <x:row r="38" ht="54" customHeight="1">
      <x:c r="A38" s="35" t="str">
        <x:v>Supplier scorecard</x:v>
      </x:c>
      <x:c r="B38" s="35" t="str">
        <x:v>UAV countermeasure equipment procurement result notice</x:v>
      </x:c>
      <x:c r="C38" s="35" t="str">
        <x:v>Military Procurement Network result notice</x:v>
      </x:c>
      <x:c r="D38" s="35" t="str">
        <x:v>A</x:v>
      </x:c>
      <x:c r="E38" s="35" t="str">
        <x:v>2026 (exact posting date to reconcile)</x:v>
      </x:c>
      <x:c r="F38" s="35" t="str">
        <x:v>https://www.plap.mil.cn/freecms/site/juncai/ggxx/info/2026/8a1d03e69cd1fb5c019d0a2b42f932db.html</x:v>
      </x:c>
    </x:row>
    <x:row r="39" ht="54" customHeight="1">
      <x:c r="A39" s="35" t="str">
        <x:v>Supplier scorecard</x:v>
      </x:c>
      <x:c r="B39" s="35" t="str">
        <x:v>UAV countermeasure equipment procurement result notice</x:v>
      </x:c>
      <x:c r="C39" s="35" t="str">
        <x:v>Military Procurement Network result notice</x:v>
      </x:c>
      <x:c r="D39" s="35" t="str">
        <x:v>A</x:v>
      </x:c>
      <x:c r="E39" s="35" t="str">
        <x:v>2025 (exact posting date to reconcile)</x:v>
      </x:c>
      <x:c r="F39" s="35" t="str">
        <x:v>https://www.plap.mil.cn/freecms/site/juncai/ggxx/info/2025/8a1d04b895320c5701964d64e62a7106.html</x:v>
      </x:c>
    </x:row>
    <x:row r="40" ht="54" customHeight="1">
      <x:c r="A40" s="35" t="str">
        <x:v>Supplier scorecard</x:v>
      </x:c>
      <x:c r="B40" s="35" t="str">
        <x:v>UAV parts procurement result notice</x:v>
      </x:c>
      <x:c r="C40" s="35" t="str">
        <x:v>Military Procurement Network result notice</x:v>
      </x:c>
      <x:c r="D40" s="35" t="str">
        <x:v>A</x:v>
      </x:c>
      <x:c r="E40" s="35" t="str">
        <x:v>2026-03-13</x:v>
      </x:c>
      <x:c r="F40" s="35" t="str">
        <x:v>https://www.plap.mil.cn/freecms/site/juncai/ggxx/info/2026/8a1d03e69cd1fb5c019cd6e59f9a252b.html</x:v>
      </x:c>
    </x:row>
    <x:row r="41" ht="54" customHeight="1">
      <x:c r="A41" s="35" t="str">
        <x:v>Supplier scorecard</x:v>
      </x:c>
      <x:c r="B41" s="35" t="str">
        <x:v>UAV platform customization transaction-candidate notice</x:v>
      </x:c>
      <x:c r="C41" s="35" t="str">
        <x:v>Official CSSC tender candidate notice</x:v>
      </x:c>
      <x:c r="D41" s="35" t="str">
        <x:v>A</x:v>
      </x:c>
      <x:c r="E41" s="35" t="str">
        <x:v>2025-09-19</x:v>
      </x:c>
      <x:c r="F41" s="35" t="str">
        <x:v>https://csscbidding.com/jyxx/003002/003002003/20250919/d89aff16-b40c-46c5-a6b0-78b05a3e9c36.html</x:v>
      </x:c>
    </x:row>
    <x:row r="42" ht="54" customHeight="1">
      <x:c r="A42" s="35" t="str">
        <x:v>Supplier scorecard</x:v>
      </x:c>
      <x:c r="B42" s="35" t="str">
        <x:v>Zhejiang Great Microwave Technology 2025 annual-report summary</x:v>
      </x:c>
      <x:c r="C42" s="35" t="str">
        <x:v>issuer annual-report summary</x:v>
      </x:c>
      <x:c r="D42" s="35" t="str">
        <x:v>A</x:v>
      </x:c>
      <x:c r="E42" s="35" t="str">
        <x:v>2026-04-22</x:v>
      </x:c>
      <x:c r="F42" s="35" t="str">
        <x:v>https://dataclouds.cninfo.com.cn/shgonggao/hsomarket/2026/20260422/1fcf6b9a126e4790b11dc2a273b4d8a7.PDF</x:v>
      </x:c>
    </x:row>
    <x:row r="43" ht="54" customHeight="1">
      <x:c r="A43" s="35" t="str">
        <x:v>Supplier scorecard</x:v>
      </x:c>
      <x:c r="B43" s="35" t="str">
        <x:v>Zhejiang University career-service profile for Hangzhou Xingchen Dahai</x:v>
      </x:c>
      <x:c r="C43" s="35" t="str">
        <x:v>Zhejiang University career-service company profile</x:v>
      </x:c>
      <x:c r="D43" s="35" t="str">
        <x:v>B</x:v>
      </x:c>
      <x:c r="E43" s="35" t="str">
        <x:v>2026-03-02</x:v>
      </x:c>
      <x:c r="F43" s="35" t="str">
        <x:v>https://www.career.zju.edu.cn/jyxt/sczp/zpztgl/ckZpgwList.zf?dwxxid=JG0000670</x:v>
      </x:c>
    </x:row>
    <x:row r="44" ht="54" customHeight="1">
      <x:c r="A44" s="35" t="str">
        <x:v>Supplier scorecard</x:v>
      </x:c>
      <x:c r="B44" s="35" t="str">
        <x:v>Zhongke Kongwang corporate homepage</x:v>
      </x:c>
      <x:c r="C44" s="35" t="str">
        <x:v>Official company website</x:v>
      </x:c>
      <x:c r="D44" s="35" t="str">
        <x:v>B</x:v>
      </x:c>
      <x:c r="E44" s="35" t="str">
        <x:v>undated (site retrieved 2026-08-31)</x:v>
      </x:c>
      <x:c r="F44" s="35" t="str">
        <x:v>https://www.zkkwgs.com/</x:v>
      </x:c>
    </x:row>
    <x:row r="45" ht="54" customHeight="1">
      <x:c r="A45" s="35" t="str">
        <x:v>Supplier scorecard</x:v>
      </x:c>
      <x:c r="B45" s="35" t="str">
        <x:v>上海瀚讯信息技术股份有限公司 — issuer_annual_report</x:v>
      </x:c>
      <x:c r="C45" s="35" t="str">
        <x:v>issuer_annual_report</x:v>
      </x:c>
      <x:c r="D45" s="35" t="str">
        <x:v>A</x:v>
      </x:c>
      <x:c r="E45" s="35" t="str">
        <x:v>2025-04-29</x:v>
      </x:c>
      <x:c r="F45" s="35" t="str">
        <x:v>https://static.cninfo.com.cn/finalpage/2025-04-29/1223369122.PDF</x:v>
      </x:c>
    </x:row>
    <x:row r="46" ht="54" customHeight="1">
      <x:c r="A46" s="35" t="str">
        <x:v>Supplier scorecard</x:v>
      </x:c>
      <x:c r="B46" s="35" t="str">
        <x:v>中电科蓝天科技股份有限公司 — issuer_annual_report</x:v>
      </x:c>
      <x:c r="C46" s="35" t="str">
        <x:v>issuer_annual_report</x:v>
      </x:c>
      <x:c r="D46" s="35" t="str">
        <x:v>A</x:v>
      </x:c>
      <x:c r="E46" s="35" t="str">
        <x:v>2026-04-23</x:v>
      </x:c>
      <x:c r="F46" s="35" t="str">
        <x:v>https://static.cninfo.com.cn/finalpage/2026-04-23/1225153647.PDF</x:v>
      </x:c>
    </x:row>
    <x:row r="47" ht="54" customHeight="1">
      <x:c r="A47" s="35" t="str">
        <x:v>Supplier scorecard</x:v>
      </x:c>
      <x:c r="B47" s="35" t="str">
        <x:v>中航光电科技股份有限公司 — issuer_annual_report</x:v>
      </x:c>
      <x:c r="C47" s="35" t="str">
        <x:v>issuer_annual_report</x:v>
      </x:c>
      <x:c r="D47" s="35" t="str">
        <x:v>A</x:v>
      </x:c>
      <x:c r="E47" s="35" t="str">
        <x:v>2025-03-29</x:v>
      </x:c>
      <x:c r="F47" s="35" t="str">
        <x:v>https://static.cninfo.com.cn/finalpage/2025-03-29/1222943981.PDF</x:v>
      </x:c>
    </x:row>
    <x:row r="48" ht="54" customHeight="1">
      <x:c r="A48" s="35" t="str">
        <x:v>Supplier scorecard</x:v>
      </x:c>
      <x:c r="B48" s="35" t="str">
        <x:v>中航机载系统股份有限公司 — issuer_annual_report</x:v>
      </x:c>
      <x:c r="C48" s="35" t="str">
        <x:v>issuer_annual_report</x:v>
      </x:c>
      <x:c r="D48" s="35" t="str">
        <x:v>A</x:v>
      </x:c>
      <x:c r="E48" s="35" t="str">
        <x:v>2025-03-29</x:v>
      </x:c>
      <x:c r="F48" s="35" t="str">
        <x:v>https://static.cninfo.com.cn/finalpage/2025-03-29/1222952075.PDF</x:v>
      </x:c>
    </x:row>
    <x:row r="49" ht="54" customHeight="1">
      <x:c r="A49" s="35" t="str">
        <x:v>Supplier scorecard</x:v>
      </x:c>
      <x:c r="B49" s="35" t="str">
        <x:v>北京富吉瑞光电科技股份有限公司 — issuer_annual_report</x:v>
      </x:c>
      <x:c r="C49" s="35" t="str">
        <x:v>issuer_annual_report</x:v>
      </x:c>
      <x:c r="D49" s="35" t="str">
        <x:v>A</x:v>
      </x:c>
      <x:c r="E49" s="35" t="str">
        <x:v>2026-04-29</x:v>
      </x:c>
      <x:c r="F49" s="35" t="str">
        <x:v>https://dataclouds.cninfo.com.cn/shgonggao/hsomarket/2026/20260429/6adcaca9c5534d379766de8c85cd385d.PDF</x:v>
      </x:c>
    </x:row>
    <x:row r="50" ht="54" customHeight="1">
      <x:c r="A50" s="35" t="str">
        <x:v>Supplier scorecard</x:v>
      </x:c>
      <x:c r="B50" s="35" t="str">
        <x:v>北京新兴东方航空装备股份有限公司 — issuer_annual_report</x:v>
      </x:c>
      <x:c r="C50" s="35" t="str">
        <x:v>issuer_annual_report</x:v>
      </x:c>
      <x:c r="D50" s="35" t="str">
        <x:v>A</x:v>
      </x:c>
      <x:c r="E50" s="35" t="str">
        <x:v>2026-04-10</x:v>
      </x:c>
      <x:c r="F50" s="35" t="str">
        <x:v>https://static.cninfo.com.cn/finalpage/2026-04-10/1225090558.PDF</x:v>
      </x:c>
    </x:row>
    <x:row r="51" ht="54" customHeight="1">
      <x:c r="A51" s="35" t="str">
        <x:v>Supplier scorecard</x:v>
      </x:c>
      <x:c r="B51" s="35" t="str">
        <x:v>北京新雷能科技股份有限公司 — issuer_annual_report</x:v>
      </x:c>
      <x:c r="C51" s="35" t="str">
        <x:v>issuer_annual_report</x:v>
      </x:c>
      <x:c r="D51" s="35" t="str">
        <x:v>A</x:v>
      </x:c>
      <x:c r="E51" s="35" t="str">
        <x:v>2026-04-21</x:v>
      </x:c>
      <x:c r="F51" s="35" t="str">
        <x:v>https://static.cninfo.com.cn/finalpage/2026-04-21/1225130175.PDF</x:v>
      </x:c>
    </x:row>
    <x:row r="52" ht="54" customHeight="1">
      <x:c r="A52" s="35" t="str">
        <x:v>Supplier scorecard</x:v>
      </x:c>
      <x:c r="B52" s="35" t="str">
        <x:v>北京星网宇达科技股份有限公司 — issuer_annual_report</x:v>
      </x:c>
      <x:c r="C52" s="35" t="str">
        <x:v>issuer_annual_report</x:v>
      </x:c>
      <x:c r="D52" s="35" t="str">
        <x:v>A</x:v>
      </x:c>
      <x:c r="E52" s="35" t="str">
        <x:v>2025-04-28</x:v>
      </x:c>
      <x:c r="F52" s="35" t="str">
        <x:v>https://static.cninfo.com.cn/finalpage/2025-04-28/1223316273.PDF</x:v>
      </x:c>
    </x:row>
    <x:row r="53" ht="54" customHeight="1">
      <x:c r="A53" s="35" t="str">
        <x:v>Supplier scorecard</x:v>
      </x:c>
      <x:c r="B53" s="35" t="str">
        <x:v>北京星网宇达科技股份有限公司 — issuer_interim_report</x:v>
      </x:c>
      <x:c r="C53" s="35" t="str">
        <x:v>issuer_interim_report</x:v>
      </x:c>
      <x:c r="D53" s="35" t="str">
        <x:v>A</x:v>
      </x:c>
      <x:c r="E53" s="35" t="str">
        <x:v>2025-08-29</x:v>
      </x:c>
      <x:c r="F53" s="35" t="str">
        <x:v>https://static.cninfo.com.cn/finalpage/2025-08-29/1224614260.PDF</x:v>
      </x:c>
    </x:row>
    <x:row r="54" ht="54" customHeight="1">
      <x:c r="A54" s="35" t="str">
        <x:v>Supplier scorecard</x:v>
      </x:c>
      <x:c r="B54" s="35" t="str">
        <x:v>北京晶品特装科技股份有限公司 — issuer_annual_report</x:v>
      </x:c>
      <x:c r="C54" s="35" t="str">
        <x:v>issuer_annual_report</x:v>
      </x:c>
      <x:c r="D54" s="35" t="str">
        <x:v>A</x:v>
      </x:c>
      <x:c r="E54" s="35" t="str">
        <x:v>2025-04-29</x:v>
      </x:c>
      <x:c r="F54" s="35" t="str">
        <x:v>https://static.cninfo.com.cn/finalpage/2025-04-29/1223380866.PDF</x:v>
      </x:c>
    </x:row>
    <x:row r="55" ht="54" customHeight="1">
      <x:c r="A55" s="35" t="str">
        <x:v>Supplier scorecard</x:v>
      </x:c>
      <x:c r="B55" s="35" t="str">
        <x:v>北京理工导航控制科技股份有限公司 — issuer_interim_report</x:v>
      </x:c>
      <x:c r="C55" s="35" t="str">
        <x:v>issuer_interim_report</x:v>
      </x:c>
      <x:c r="D55" s="35" t="str">
        <x:v>A</x:v>
      </x:c>
      <x:c r="E55" s="35" t="str">
        <x:v>2025-08-29</x:v>
      </x:c>
      <x:c r="F55" s="35" t="str">
        <x:v>https://static.cninfo.com.cn/finalpage/2025-08-29/1224606049.PDF</x:v>
      </x:c>
    </x:row>
    <x:row r="56" ht="54" customHeight="1">
      <x:c r="A56" s="35" t="str">
        <x:v>Supplier scorecard</x:v>
      </x:c>
      <x:c r="B56" s="35" t="str">
        <x:v>南京国博电子股份有限公司 — issuer_annual_report</x:v>
      </x:c>
      <x:c r="C56" s="35" t="str">
        <x:v>issuer_annual_report</x:v>
      </x:c>
      <x:c r="D56" s="35" t="str">
        <x:v>A</x:v>
      </x:c>
      <x:c r="E56" s="35" t="str">
        <x:v>2026-04-10</x:v>
      </x:c>
      <x:c r="F56" s="35" t="str">
        <x:v>https://static.cninfo.com.cn/finalpage/2026-04-10/1225090270.PDF</x:v>
      </x:c>
    </x:row>
    <x:row r="57" ht="54" customHeight="1">
      <x:c r="A57" s="35" t="str">
        <x:v>Supplier scorecard</x:v>
      </x:c>
      <x:c r="B57" s="35" t="str">
        <x:v>南京国博电子股份有限公司 — issuer_annual_report</x:v>
      </x:c>
      <x:c r="C57" s="35" t="str">
        <x:v>issuer_annual_report</x:v>
      </x:c>
      <x:c r="D57" s="35" t="str">
        <x:v>A</x:v>
      </x:c>
      <x:c r="E57" s="35" t="str">
        <x:v>2025-04-11</x:v>
      </x:c>
      <x:c r="F57" s="35" t="str">
        <x:v>https://static.cninfo.com.cn/finalpage/2025-04-11/1223058747.PDF</x:v>
      </x:c>
    </x:row>
    <x:row r="58" ht="54" customHeight="1">
      <x:c r="A58" s="35" t="str">
        <x:v>Supplier scorecard</x:v>
      </x:c>
      <x:c r="B58" s="35" t="str">
        <x:v>南京高华科技股份有限公司 — issuer_annual_report</x:v>
      </x:c>
      <x:c r="C58" s="35" t="str">
        <x:v>issuer_annual_report</x:v>
      </x:c>
      <x:c r="D58" s="35" t="str">
        <x:v>A</x:v>
      </x:c>
      <x:c r="E58" s="35" t="str">
        <x:v>2026-04-25</x:v>
      </x:c>
      <x:c r="F58" s="35" t="str">
        <x:v>https://static.cninfo.com.cn/finalpage/2026-04-25/1225182276.PDF</x:v>
      </x:c>
    </x:row>
    <x:row r="59" ht="54" customHeight="1">
      <x:c r="A59" s="35" t="str">
        <x:v>Supplier scorecard</x:v>
      </x:c>
      <x:c r="B59" s="35" t="str">
        <x:v>南京高华科技股份有限公司 — issuer_annual_report</x:v>
      </x:c>
      <x:c r="C59" s="35" t="str">
        <x:v>issuer_annual_report</x:v>
      </x:c>
      <x:c r="D59" s="35" t="str">
        <x:v>A</x:v>
      </x:c>
      <x:c r="E59" s="35" t="str">
        <x:v>2026-04-25</x:v>
      </x:c>
      <x:c r="F59" s="35" t="str">
        <x:v>https://static.cninfo.com.cn/finalpage/2026-04-25/1225182440.PDF</x:v>
      </x:c>
    </x:row>
    <x:row r="60" ht="54" customHeight="1">
      <x:c r="A60" s="35" t="str">
        <x:v>Supplier scorecard</x:v>
      </x:c>
      <x:c r="B60" s="35" t="str">
        <x:v>国科天成科技股份有限公司 — issuer_investor_record</x:v>
      </x:c>
      <x:c r="C60" s="35" t="str">
        <x:v>issuer_investor_record</x:v>
      </x:c>
      <x:c r="D60" s="35" t="str">
        <x:v>A</x:v>
      </x:c>
      <x:c r="E60" s="35" t="str">
        <x:v>2025-05-13</x:v>
      </x:c>
      <x:c r="F60" s="35" t="str">
        <x:v>https://static.cninfo.com.cn/finalpage/2025-05-13/1223535717.PDF</x:v>
      </x:c>
    </x:row>
    <x:row r="61" ht="54" customHeight="1">
      <x:c r="A61" s="35" t="str">
        <x:v>Supplier scorecard</x:v>
      </x:c>
      <x:c r="B61" s="35" t="str">
        <x:v>天津七一二通信广播股份有限公司 — issuer_annual_report</x:v>
      </x:c>
      <x:c r="C61" s="35" t="str">
        <x:v>issuer_annual_report</x:v>
      </x:c>
      <x:c r="D61" s="35" t="str">
        <x:v>A</x:v>
      </x:c>
      <x:c r="E61" s="35" t="str">
        <x:v>2025-04-23</x:v>
      </x:c>
      <x:c r="F61" s="35" t="str">
        <x:v>https://static.cninfo.com.cn/finalpage/2025-04-23/1223214852.PDF</x:v>
      </x:c>
    </x:row>
    <x:row r="62" ht="54" customHeight="1">
      <x:c r="A62" s="35" t="str">
        <x:v>Supplier scorecard</x:v>
      </x:c>
      <x:c r="B62" s="35" t="str">
        <x:v>广州海格通信集团股份有限公司 — issuer_annual_report</x:v>
      </x:c>
      <x:c r="C62" s="35" t="str">
        <x:v>issuer_annual_report</x:v>
      </x:c>
      <x:c r="D62" s="35" t="str">
        <x:v>A</x:v>
      </x:c>
      <x:c r="E62" s="35" t="str">
        <x:v>2025-03-29</x:v>
      </x:c>
      <x:c r="F62" s="35" t="str">
        <x:v>https://static.cninfo.com.cn/finalpage/2025-03-29/1222948694.PDF</x:v>
      </x:c>
    </x:row>
    <x:row r="63" ht="54" customHeight="1">
      <x:c r="A63" s="35" t="str">
        <x:v>Supplier scorecard</x:v>
      </x:c>
      <x:c r="B63" s="35" t="str">
        <x:v>广电计量检测集团股份有限公司 — issuer_annual_report</x:v>
      </x:c>
      <x:c r="C63" s="35" t="str">
        <x:v>issuer_annual_report</x:v>
      </x:c>
      <x:c r="D63" s="35" t="str">
        <x:v>A</x:v>
      </x:c>
      <x:c r="E63" s="35" t="str">
        <x:v>2026-03-27</x:v>
      </x:c>
      <x:c r="F63" s="35" t="str">
        <x:v>https://static.cninfo.com.cn/finalpage/2026-03-27/1225036876.PDF</x:v>
      </x:c>
    </x:row>
    <x:row r="64" ht="54" customHeight="1">
      <x:c r="A64" s="35" t="str">
        <x:v>Supplier scorecard</x:v>
      </x:c>
      <x:c r="B64" s="35" t="str">
        <x:v>成都天奥电子股份有限公司 — issuer_annual_report</x:v>
      </x:c>
      <x:c r="C64" s="35" t="str">
        <x:v>issuer_annual_report</x:v>
      </x:c>
      <x:c r="D64" s="35" t="str">
        <x:v>A</x:v>
      </x:c>
      <x:c r="E64" s="35" t="str">
        <x:v>2025-04-12</x:v>
      </x:c>
      <x:c r="F64" s="35" t="str">
        <x:v>https://static.cninfo.com.cn/finalpage/2025-04-12/1223068986.PDF</x:v>
      </x:c>
    </x:row>
    <x:row r="65" ht="54" customHeight="1">
      <x:c r="A65" s="35" t="str">
        <x:v>Supplier scorecard</x:v>
      </x:c>
      <x:c r="B65" s="35" t="str">
        <x:v>成都天箭科技股份有限公司 — issuer_annual_report</x:v>
      </x:c>
      <x:c r="C65" s="35" t="str">
        <x:v>issuer_annual_report</x:v>
      </x:c>
      <x:c r="D65" s="35" t="str">
        <x:v>A</x:v>
      </x:c>
      <x:c r="E65" s="35" t="str">
        <x:v>2026-04-23</x:v>
      </x:c>
      <x:c r="F65" s="35" t="str">
        <x:v>https://static.cninfo.com.cn/finalpage/2026-04-23/1225156050.PDF</x:v>
      </x:c>
    </x:row>
    <x:row r="66" ht="54" customHeight="1">
      <x:c r="A66" s="35" t="str">
        <x:v>Supplier scorecard</x:v>
      </x:c>
      <x:c r="B66" s="35" t="str">
        <x:v>成都天箭科技股份有限公司 — issuer_annual_report</x:v>
      </x:c>
      <x:c r="C66" s="35" t="str">
        <x:v>issuer_annual_report</x:v>
      </x:c>
      <x:c r="D66" s="35" t="str">
        <x:v>A</x:v>
      </x:c>
      <x:c r="E66" s="35" t="str">
        <x:v>2025-04-23</x:v>
      </x:c>
      <x:c r="F66" s="35" t="str">
        <x:v>https://static.cninfo.com.cn/finalpage/2025-04-23/1223218349.PDF</x:v>
      </x:c>
    </x:row>
    <x:row r="67" ht="54" customHeight="1">
      <x:c r="A67" s="35" t="str">
        <x:v>Supplier scorecard</x:v>
      </x:c>
      <x:c r="B67" s="35" t="str">
        <x:v>成都智明达电子股份有限公司 — issuer_annual_report</x:v>
      </x:c>
      <x:c r="C67" s="35" t="str">
        <x:v>issuer_annual_report</x:v>
      </x:c>
      <x:c r="D67" s="35" t="str">
        <x:v>A</x:v>
      </x:c>
      <x:c r="E67" s="35" t="str">
        <x:v>2026-03-26</x:v>
      </x:c>
      <x:c r="F67" s="35" t="str">
        <x:v>https://static.cninfo.com.cn/finalpage/2026-03-26/1225031432.PDF</x:v>
      </x:c>
    </x:row>
    <x:row r="68" ht="54" customHeight="1">
      <x:c r="A68" s="35" t="str">
        <x:v>Supplier scorecard</x:v>
      </x:c>
      <x:c r="B68" s="35" t="str">
        <x:v>杭州景业智能科技股份有限公司 — issuer_interim_report</x:v>
      </x:c>
      <x:c r="C68" s="35" t="str">
        <x:v>issuer_interim_report</x:v>
      </x:c>
      <x:c r="D68" s="35" t="str">
        <x:v>A</x:v>
      </x:c>
      <x:c r="E68" s="35" t="str">
        <x:v>2025-08-28</x:v>
      </x:c>
      <x:c r="F68" s="35" t="str">
        <x:v>https://static.cninfo.com.cn/finalpage/2025-08-28/1224593800.PDF</x:v>
      </x:c>
    </x:row>
    <x:row r="69" ht="54" customHeight="1">
      <x:c r="A69" s="35" t="str">
        <x:v>Supplier scorecard</x:v>
      </x:c>
      <x:c r="B69" s="35" t="str">
        <x:v>武汉高德红外股份有限公司 — issuer_annual_report</x:v>
      </x:c>
      <x:c r="C69" s="35" t="str">
        <x:v>issuer_annual_report</x:v>
      </x:c>
      <x:c r="D69" s="35" t="str">
        <x:v>A</x:v>
      </x:c>
      <x:c r="E69" s="35" t="str">
        <x:v>2025-04-25</x:v>
      </x:c>
      <x:c r="F69" s="35" t="str">
        <x:v>https://static.cninfo.com.cn/finalpage/2025-04-25/1223276595.PDF</x:v>
      </x:c>
    </x:row>
    <x:row r="70" ht="54" customHeight="1">
      <x:c r="A70" s="35" t="str">
        <x:v>Supplier scorecard</x:v>
      </x:c>
      <x:c r="B70" s="35" t="str">
        <x:v>浙江铖昌科技股份有限公司 — issuer_annual_report</x:v>
      </x:c>
      <x:c r="C70" s="35" t="str">
        <x:v>issuer_annual_report</x:v>
      </x:c>
      <x:c r="D70" s="35" t="str">
        <x:v>A</x:v>
      </x:c>
      <x:c r="E70" s="35" t="str">
        <x:v>2025-04-23</x:v>
      </x:c>
      <x:c r="F70" s="35" t="str">
        <x:v>https://static.cninfo.com.cn/finalpage/2025-04-23/1223220400.PDF</x:v>
      </x:c>
    </x:row>
    <x:row r="71" ht="54" customHeight="1">
      <x:c r="A71" s="35" t="str">
        <x:v>Supplier scorecard</x:v>
      </x:c>
      <x:c r="B71" s="35" t="str">
        <x:v>深圳市科思科技股份有限公司 — issuer_annual_report</x:v>
      </x:c>
      <x:c r="C71" s="35" t="str">
        <x:v>issuer_annual_report</x:v>
      </x:c>
      <x:c r="D71" s="35" t="str">
        <x:v>A</x:v>
      </x:c>
      <x:c r="E71" s="35" t="str">
        <x:v>2025-04-25</x:v>
      </x:c>
      <x:c r="F71" s="35" t="str">
        <x:v>https://static.cninfo.com.cn/finalpage/2025-04-25/1223284788.PDF</x:v>
      </x:c>
    </x:row>
    <x:row r="72" ht="54" customHeight="1">
      <x:c r="A72" s="35" t="str">
        <x:v>Supplier scorecard</x:v>
      </x:c>
      <x:c r="B72" s="35" t="str">
        <x:v>湖北久之洋红外系统股份有限公司 — issuer_annual_report</x:v>
      </x:c>
      <x:c r="C72" s="35" t="str">
        <x:v>issuer_annual_report</x:v>
      </x:c>
      <x:c r="D72" s="35" t="str">
        <x:v>A</x:v>
      </x:c>
      <x:c r="E72" s="35" t="str">
        <x:v>2026-03-27</x:v>
      </x:c>
      <x:c r="F72" s="35" t="str">
        <x:v>https://static.cninfo.com.cn/finalpage/2026-03-27/1225037823.PDF</x:v>
      </x:c>
    </x:row>
    <x:row r="73" ht="54" customHeight="1">
      <x:c r="A73" s="35" t="str">
        <x:v>Supplier scorecard</x:v>
      </x:c>
      <x:c r="B73" s="35" t="str">
        <x:v>湖南航天环宇通信科技股份有限公司 — issuer_interim_report</x:v>
      </x:c>
      <x:c r="C73" s="35" t="str">
        <x:v>issuer_interim_report</x:v>
      </x:c>
      <x:c r="D73" s="35" t="str">
        <x:v>A</x:v>
      </x:c>
      <x:c r="E73" s="35" t="str">
        <x:v>2025-08-15</x:v>
      </x:c>
      <x:c r="F73" s="35" t="str">
        <x:v>https://static.cninfo.com.cn/finalpage/2025-08-15/1224487074.PDF</x:v>
      </x:c>
    </x:row>
    <x:row r="74" ht="54" customHeight="1">
      <x:c r="A74" s="35" t="str">
        <x:v>Supplier scorecard</x:v>
      </x:c>
      <x:c r="B74" s="35" t="str">
        <x:v>烟台睿创微纳技术股份有限公司 — issuer_annual_report</x:v>
      </x:c>
      <x:c r="C74" s="35" t="str">
        <x:v>issuer_annual_report</x:v>
      </x:c>
      <x:c r="D74" s="35" t="str">
        <x:v>A</x:v>
      </x:c>
      <x:c r="E74" s="35" t="str">
        <x:v>2026-04-09</x:v>
      </x:c>
      <x:c r="F74" s="35" t="str">
        <x:v>https://dataclouds.cninfo.com.cn/shgonggao/hsomarket/2026/20260409/bd5b9430f4f748bb9810c6a6fbcb645e.PDF</x:v>
      </x:c>
    </x:row>
    <x:row r="75" ht="54" customHeight="1">
      <x:c r="A75" s="35" t="str">
        <x:v>Supplier scorecard</x:v>
      </x:c>
      <x:c r="B75" s="35" t="str">
        <x:v>科德数控股份有限公司 — issuer_annual_report</x:v>
      </x:c>
      <x:c r="C75" s="35" t="str">
        <x:v>issuer_annual_report</x:v>
      </x:c>
      <x:c r="D75" s="35" t="str">
        <x:v>A</x:v>
      </x:c>
      <x:c r="E75" s="35" t="str">
        <x:v>2026-04-21</x:v>
      </x:c>
      <x:c r="F75" s="35" t="str">
        <x:v>https://static.cninfo.com.cn/finalpage/2026-04-21/1225129206.PDF</x:v>
      </x:c>
    </x:row>
    <x:row r="76" ht="54" customHeight="1">
      <x:c r="A76" s="35" t="str">
        <x:v>Supplier scorecard</x:v>
      </x:c>
      <x:c r="B76" s="35" t="str">
        <x:v>航天工业发展股份有限公司 — issuer_annual_report</x:v>
      </x:c>
      <x:c r="C76" s="35" t="str">
        <x:v>issuer_annual_report</x:v>
      </x:c>
      <x:c r="D76" s="35" t="str">
        <x:v>A</x:v>
      </x:c>
      <x:c r="E76" s="35" t="str">
        <x:v>2026-04-29</x:v>
      </x:c>
      <x:c r="F76" s="35" t="str">
        <x:v>https://static.cninfo.com.cn/finalpage/2026-04-29/1225247825.PDF</x:v>
      </x:c>
    </x:row>
    <x:row r="77" ht="54" customHeight="1">
      <x:c r="A77" s="35" t="str">
        <x:v>Supplier scorecard</x:v>
      </x:c>
      <x:c r="B77" s="35" t="str">
        <x:v>航天科技控股集团股份有限公司 — issuer_interim_report</x:v>
      </x:c>
      <x:c r="C77" s="35" t="str">
        <x:v>issuer_interim_report</x:v>
      </x:c>
      <x:c r="D77" s="35" t="str">
        <x:v>A</x:v>
      </x:c>
      <x:c r="E77" s="35" t="str">
        <x:v>2025-08-27</x:v>
      </x:c>
      <x:c r="F77" s="35" t="str">
        <x:v>https://static.cninfo.com.cn/finalpage/2025-08-27/1224574611.PDF</x:v>
      </x:c>
    </x:row>
    <x:row r="78" ht="54" customHeight="1">
      <x:c r="A78" s="35" t="str">
        <x:v>Supplier scorecard</x:v>
      </x:c>
      <x:c r="B78" s="35" t="str">
        <x:v>西安天和防务技术股份有限公司 — issuer_annual_report</x:v>
      </x:c>
      <x:c r="C78" s="35" t="str">
        <x:v>issuer_annual_report</x:v>
      </x:c>
      <x:c r="D78" s="35" t="str">
        <x:v>A</x:v>
      </x:c>
      <x:c r="E78" s="35" t="str">
        <x:v>2025-04-25</x:v>
      </x:c>
      <x:c r="F78" s="35" t="str">
        <x:v>https://static.cninfo.com.cn/finalpage/2025-04-25/1223271956.PDF</x:v>
      </x:c>
    </x:row>
    <x:row r="79" ht="54" customHeight="1">
      <x:c r="A79" s="35" t="str">
        <x:v>Supplier scorecard</x:v>
      </x:c>
      <x:c r="B79" s="35" t="str">
        <x:v>西安爱科赛博电气股份有限公司 — issuer_interim_report</x:v>
      </x:c>
      <x:c r="C79" s="35" t="str">
        <x:v>issuer_interim_report</x:v>
      </x:c>
      <x:c r="D79" s="35" t="str">
        <x:v>A</x:v>
      </x:c>
      <x:c r="E79" s="35" t="str">
        <x:v>2026-04-22</x:v>
      </x:c>
      <x:c r="F79" s="35" t="str">
        <x:v>https://static.cninfo.com.cn/finalpage/2026-04-22/1225138987.PDF</x:v>
      </x:c>
    </x:row>
    <x:row r="80" ht="54" customHeight="1">
      <x:c r="A80" s="35" t="str">
        <x:v>Supplier scorecard</x:v>
      </x:c>
      <x:c r="B80" s="35" t="str">
        <x:v>西安西测测试技术股份有限公司 — issuer_annual_report</x:v>
      </x:c>
      <x:c r="C80" s="35" t="str">
        <x:v>issuer_annual_report</x:v>
      </x:c>
      <x:c r="D80" s="35" t="str">
        <x:v>A</x:v>
      </x:c>
      <x:c r="E80" s="35" t="str">
        <x:v>2026-04-28</x:v>
      </x:c>
      <x:c r="F80" s="35" t="str">
        <x:v>https://static.cninfo.com.cn/finalpage/2026-04-28/1225217143.PDF</x:v>
      </x:c>
    </x:row>
    <x:row r="81" ht="54" customHeight="1">
      <x:c r="A81" s="35" t="str">
        <x:v>Supplier scorecard</x:v>
      </x:c>
      <x:c r="B81" s="35" t="str">
        <x:v>长春奥普光电技术股份有限公司 — issuer_annual_report</x:v>
      </x:c>
      <x:c r="C81" s="35" t="str">
        <x:v>issuer_annual_report</x:v>
      </x:c>
      <x:c r="D81" s="35" t="str">
        <x:v>A</x:v>
      </x:c>
      <x:c r="E81" s="35" t="str">
        <x:v>2025-04-22</x:v>
      </x:c>
      <x:c r="F81" s="35" t="str">
        <x:v>https://static.cninfo.com.cn/finalpage/2025-04-22/1223192767.PDF</x:v>
      </x:c>
    </x:row>
    <x:row r="82" ht="54" customHeight="1">
      <x:c r="A82" s="35" t="str">
        <x:v>Supplier scorecard</x:v>
      </x:c>
      <x:c r="B82" s="35" t="str">
        <x:v>长沙景嘉微电子股份有限公司 — issuer_annual_report</x:v>
      </x:c>
      <x:c r="C82" s="35" t="str">
        <x:v>issuer_annual_report</x:v>
      </x:c>
      <x:c r="D82" s="35" t="str">
        <x:v>A</x:v>
      </x:c>
      <x:c r="E82" s="35" t="str">
        <x:v>2025-04-24</x:v>
      </x:c>
      <x:c r="F82" s="35" t="str">
        <x:v>https://static.cninfo.com.cn/finalpage/2025-04-24/1223239399.PDF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063f7a2978747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72" hidden="0" customWidth="1"/>
    <x:col min="4" max="4" width="72" hidden="0" customWidth="1"/>
  </x:cols>
  <x:sheetData>
    <x:row r="1" ht="32" customHeight="1">
      <x:c r="A1" s="3" t="str">
        <x:v>Bibliographic essay — what the new sources can prove</x:v>
      </x:c>
      <x:c r="B1" s="3"/>
      <x:c r="C1" s="3"/>
      <x:c r="D1" s="3"/>
    </x:row>
    <x:row r="2" ht="38" customHeight="1">
      <x:c r="A2" s="7" t="str">
        <x:v>A guide to the evidentiary division of labor behind the v1.2 supplier scorecards.</x:v>
      </x:c>
      <x:c r="B2" s="7"/>
      <x:c r="C2" s="7"/>
      <x:c r="D2" s="7"/>
    </x:row>
    <x:row r="4" ht="34" customHeight="1">
      <x:c r="A4" s="11" t="str">
        <x:v>Section</x:v>
      </x:c>
      <x:c r="B4" s="11" t="str">
        <x:v>Source family</x:v>
      </x:c>
      <x:c r="C4" s="11" t="str">
        <x:v>What it is good for</x:v>
      </x:c>
      <x:c r="D4" s="11" t="str">
        <x:v>What it cannot prove alone</x:v>
      </x:c>
    </x:row>
    <x:row r="5" ht="86" customHeight="1">
      <x:c r="A5" s="35" t="str">
        <x:v>1. Listed-company regulatory filings</x:v>
      </x:c>
      <x:c r="B5" s="35" t="str">
        <x:v>CNINFO annual/interim reports</x:v>
      </x:c>
      <x:c r="C5" s="35" t="str">
        <x:v>Named product categories, batch production, customer class, qualifications, capacity, and sometimes limited-source language.</x:v>
      </x:c>
      <x:c r="D5" s="35" t="str">
        <x:v>A generic ‘special market’ disclosure does not identify a program, military buyer, monopoly, or delivery event.</x:v>
      </x:c>
    </x:row>
    <x:row r="6" ht="86" customHeight="1">
      <x:c r="A6" s="35" t="str">
        <x:v>2. SOE award notices</x:v>
      </x:c>
      <x:c r="B6" s="35" t="str">
        <x:v>CSSC tender-result pages</x:v>
      </x:c>
      <x:c r="C6" s="35" t="str">
        <x:v>Named winner, buyer, project scope, result state, date, and disclosed price for specific production or equipment procurements.</x:v>
      </x:c>
      <x:c r="D6" s="35" t="str">
        <x:v>A shipyard production-equipment award does not establish a weapon component relationship or enterprise-wide revenue.</x:v>
      </x:c>
    </x:row>
    <x:row r="7" ht="86" customHeight="1">
      <x:c r="A7" s="35" t="str">
        <x:v>3. PLA procurement notices</x:v>
      </x:c>
      <x:c r="B7" s="35" t="str">
        <x:v>PLA Military Procurement Network</x:v>
      </x:c>
      <x:c r="C7" s="35" t="str">
        <x:v>Demand shape, technical requirements, bid/pre-award/final-state distinctions, and named component stacks.</x:v>
      </x:c>
      <x:c r="D7" s="35" t="str">
        <x:v>Intent, candidates, or first-ranked notices cannot be treated as award, delivery, fielding, or repeat supply without final proof.</x:v>
      </x:c>
    </x:row>
    <x:row r="8" ht="86" customHeight="1">
      <x:c r="A8" s="35" t="str">
        <x:v>4. Government and research-institute profiles</x:v>
      </x:c>
      <x:c r="B8" s="35" t="str">
        <x:v>Chinese government / university-hosted company profiles</x:v>
      </x:c>
      <x:c r="C8" s="35" t="str">
        <x:v>Attributed capability, provenance, local incubation, test participation, and sometimes installed-base claims.</x:v>
      </x:c>
      <x:c r="D8" s="35" t="str">
        <x:v>They are not independent evidence of contract completion, program integration, or production volumes when claims are company-attributed.</x:v>
      </x:c>
    </x:row>
    <x:row r="9" ht="86" customHeight="1">
      <x:c r="A9" s="35" t="str">
        <x:v>5. Foreign export-control orders</x:v>
      </x:c>
      <x:c r="B9" s="35" t="str">
        <x:v>U.S. BIS orders and settlements</x:v>
      </x:c>
      <x:c r="C9" s="35" t="str">
        <x:v>Named historical exports/reexports, tools, direct counterparties, values, and known time windows.</x:v>
      </x:c>
      <x:c r="D9" s="35" t="str">
        <x:v>They do not establish current access, a specific Chinese fab/program, defense end use, or a present vulnerability without additional evidence.</x:v>
      </x:c>
    </x:row>
    <x:row r="10" ht="86" customHeight="1">
      <x:c r="A10" s="35" t="str">
        <x:v>6. Comparative security tests</x:v>
      </x:c>
      <x:c r="B10" s="35" t="str">
        <x:v>Industry association trial reports</x:v>
      </x:c>
      <x:c r="C10" s="35" t="str">
        <x:v>Capability cohort breadth and comparative test outcomes useful for market-structure inference.</x:v>
      </x:c>
      <x:c r="D10" s="35" t="str">
        <x:v>An ‘excellent’ result is not procurement, irreplacability, or operational deployment; a broad cohort often points toward higher substitutability.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c3ea83754cd4ac8"/>
  </x:tableParts>
</x:worksheet>
</file>